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2f53bb882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3c9bab9c89d4cdd"/>
    <x:sheet xmlns:r="http://schemas.openxmlformats.org/officeDocument/2006/relationships" name="team_metrics" sheetId="2" r:id="Rcf31af02bc1749be"/>
    <x:sheet xmlns:r="http://schemas.openxmlformats.org/officeDocument/2006/relationships" name="risk_profiles" sheetId="3" r:id="R349cb0008ffc4730"/>
    <x:sheet xmlns:r="http://schemas.openxmlformats.org/officeDocument/2006/relationships" name="11_future_match_features" sheetId="4" r:id="Recd162099a7f4319"/>
    <x:sheet xmlns:r="http://schemas.openxmlformats.org/officeDocument/2006/relationships" name="12_formula_and_input_guide" sheetId="5" r:id="R5477848bcf2549ce"/>
    <x:sheet xmlns:r="http://schemas.openxmlformats.org/officeDocument/2006/relationships" name="99_sources" sheetId="6" r:id="Rfdaa10566d964cf2"/>
    <x:sheet xmlns:r="http://schemas.openxmlformats.org/officeDocument/2006/relationships" name="08_progress_status" sheetId="7" r:id="Ra236576f3636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"/>
    <x:numFmt numFmtId="202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74ba957c14f8c" /><Relationship Type="http://schemas.openxmlformats.org/officeDocument/2006/relationships/theme" Target="/xl/theme/theme1.xml" Id="Rcbdbc001e80e48a8" /><Relationship Type="http://schemas.openxmlformats.org/officeDocument/2006/relationships/sharedStrings" Target="/xl/sharedStrings.xml" Id="R1522514a72144740" /><Relationship Type="http://schemas.openxmlformats.org/officeDocument/2006/relationships/worksheet" Target="/xl/worksheets/sheet1.xml" Id="R03c9bab9c89d4cdd" /><Relationship Type="http://schemas.openxmlformats.org/officeDocument/2006/relationships/worksheet" Target="/xl/worksheets/sheet2.xml" Id="Rcf31af02bc1749be" /><Relationship Type="http://schemas.openxmlformats.org/officeDocument/2006/relationships/worksheet" Target="/xl/worksheets/sheet3.xml" Id="R349cb0008ffc4730" /><Relationship Type="http://schemas.openxmlformats.org/officeDocument/2006/relationships/worksheet" Target="/xl/worksheets/sheet4.xml" Id="Recd162099a7f4319" /><Relationship Type="http://schemas.openxmlformats.org/officeDocument/2006/relationships/worksheet" Target="/xl/worksheets/sheet5.xml" Id="R5477848bcf2549ce" /><Relationship Type="http://schemas.openxmlformats.org/officeDocument/2006/relationships/worksheet" Target="/xl/worksheets/sheet6.xml" Id="Rfdaa10566d964cf2" /><Relationship Type="http://schemas.openxmlformats.org/officeDocument/2006/relationships/worksheet" Target="/xl/worksheets/sheet7.xml" Id="Ra236576f3636407d" /></Relationships>
</file>

<file path=xl/tables/table1.xml><?xml version="1.0" encoding="utf-8"?>
<x:table xmlns:x="http://schemas.openxmlformats.org/spreadsheetml/2006/main" id="1" name="TeamMetrics" displayName="TeamMetrics" ref="A1:P26" headerRowCount="1">
  <x:tableColumns count="16">
    <x:tableColumn id="1" name="team"/>
    <x:tableColumn id="2" name="team_cn"/>
    <x:tableColumn id="3" name="confederation"/>
    <x:tableColumn id="4" name="is_host"/>
    <x:tableColumn id="5" name="fifa_rank"/>
    <x:tableColumn id="6" name="fifa_points"/>
    <x:tableColumn id="7" name="elo_rank"/>
    <x:tableColumn id="8" name="elo_rating"/>
    <x:tableColumn id="9" name="squad_value_eur_m"/>
    <x:tableColumn id="10" name="avg_age"/>
    <x:tableColumn id="11" name="avg_value_eur_m"/>
    <x:tableColumn id="12" name="adjusted_form_score"/>
    <x:tableColumn id="13" name="points_per_match"/>
    <x:tableColumn id="14" name="goal_diff"/>
    <x:tableColumn id="15" name="recent3_points"/>
    <x:tableColumn id="16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FutureMatchFeatures" displayName="FutureMatchFeatures" ref="A1:AM26" headerRowCount="1">
  <x:tableColumns count="39">
    <x:tableColumn id="1" name="match_id"/>
    <x:tableColumn id="2" name="stage"/>
    <x:tableColumn id="3" name="taipei_time"/>
    <x:tableColumn id="4" name="team_a_slot"/>
    <x:tableColumn id="5" name="team_b_slot"/>
    <x:tableColumn id="6" name="venue_city"/>
    <x:tableColumn id="7" name="venue_country"/>
    <x:tableColumn id="8" name="match_status"/>
    <x:tableColumn id="9" name="team_a_input"/>
    <x:tableColumn id="10" name="team_b_input"/>
    <x:tableColumn id="11" name="xhs_pct_a_user_input"/>
    <x:tableColumn id="12" name="xhs_pct_b_user_input"/>
    <x:tableColumn id="13" name="payout_mult_a"/>
    <x:tableColumn id="14" name="payout_mult_b"/>
    <x:tableColumn id="15" name="rank_a"/>
    <x:tableColumn id="16" name="rank_b"/>
    <x:tableColumn id="17" name="rank_adv_a_vs_b"/>
    <x:tableColumn id="18" name="fifa_pts_a"/>
    <x:tableColumn id="19" name="fifa_pts_b"/>
    <x:tableColumn id="20" name="fifa_pts_diff"/>
    <x:tableColumn id="21" name="elo_a"/>
    <x:tableColumn id="22" name="elo_b"/>
    <x:tableColumn id="23" name="elo_diff"/>
    <x:tableColumn id="24" name="squad_value_a_eur_m"/>
    <x:tableColumn id="25" name="squad_value_b_eur_m"/>
    <x:tableColumn id="26" name="squad_value_diff"/>
    <x:tableColumn id="27" name="form_score_a"/>
    <x:tableColumn id="28" name="form_score_b"/>
    <x:tableColumn id="29" name="form_score_diff"/>
    <x:tableColumn id="30" name="host_diff_a_minus_b"/>
    <x:tableColumn id="31" name="p_model_a_adv_seed"/>
    <x:tableColumn id="32" name="p_model_b_adv_seed"/>
    <x:tableColumn id="33" name="xhs_ev_a"/>
    <x:tableColumn id="34" name="xhs_ev_b"/>
    <x:tableColumn id="35" name="recommended_side"/>
    <x:tableColumn id="36" name="risk_profile"/>
    <x:tableColumn id="37" name="suggested_stake_gold"/>
    <x:tableColumn id="38" name="expected_gold_profit"/>
    <x:tableColumn id="39" name="sourc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3aee2812db46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9a02af59d44436a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6" t="str">
        <x:v>2026世界杯投资分析：未来比赛特征表</x:v>
      </x:c>
      <x:c r="B1" s="6" t="str">
        <x:v>说明</x:v>
      </x:c>
    </x:row>
    <x:row r="2">
      <x:c r="A2" s="12" t="str">
        <x:v>生成时间</x:v>
      </x:c>
      <x:c r="B2" s="12" t="str">
        <x:v>2026-07-01</x:v>
      </x:c>
    </x:row>
    <x:row r="3">
      <x:c r="A3" s="12" t="str">
        <x:v>当前状态</x:v>
      </x:c>
      <x:c r="B3" s="12" t="str">
        <x:v>基于已整理的静态实力表与当前世界杯已赛近期状态汇总表，生成 remaining/future match level features。</x:v>
      </x:c>
    </x:row>
    <x:row r="4">
      <x:c r="A4" s="12" t="str">
        <x:v>重要口径</x:v>
      </x:c>
      <x:c r="B4" s="12" t="str">
        <x:v>小红书金球竞猜仅猜胜负，无平局；用户需在 11_future_match_features 中输入双方投注人数比例。</x:v>
      </x:c>
    </x:row>
    <x:row r="5">
      <x:c r="A5" s="12" t="str">
        <x:v>模型概率</x:v>
      </x:c>
      <x:c r="B5" s="12" t="str">
        <x:v>当前表内 p_model_a_adv 是可编辑的启发式公式种子；后续可由正式模型覆盖。</x:v>
      </x:c>
    </x:row>
    <x:row r="6">
      <x:c r="A6" s="12" t="str">
        <x:v>收益公式</x:v>
      </x:c>
      <x:c r="B6" s="12" t="str">
        <x:v>若选择结果投注人数比例为 n%，猜中返还倍率 = 100/n；EV = 模型晋级概率 * 返还倍率 - 1。</x:v>
      </x:c>
    </x:row>
    <x:row r="7">
      <x:c r="A7" s="12" t="str">
        <x:v>数据限制</x:v>
      </x:c>
      <x:c r="B7" s="12" t="str">
        <x:v>条件对阵需在前序比赛结束后手动填 team_a_input/team_b_input，公式会自动刷新特征。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6" t="str">
        <x:v>team</x:v>
      </x:c>
      <x:c r="B1" s="6" t="str">
        <x:v>team_cn</x:v>
      </x:c>
      <x:c r="C1" s="6" t="str">
        <x:v>confederation</x:v>
      </x:c>
      <x:c r="D1" s="6" t="str">
        <x:v>is_host</x:v>
      </x:c>
      <x:c r="E1" s="6" t="str">
        <x:v>fifa_rank</x:v>
      </x:c>
      <x:c r="F1" s="6" t="str">
        <x:v>fifa_points</x:v>
      </x:c>
      <x:c r="G1" s="6" t="str">
        <x:v>elo_rank</x:v>
      </x:c>
      <x:c r="H1" s="6" t="str">
        <x:v>elo_rating</x:v>
      </x:c>
      <x:c r="I1" s="14" t="str">
        <x:v>squad_value_eur_m</x:v>
      </x:c>
      <x:c r="J1" s="14" t="str">
        <x:v>avg_age</x:v>
      </x:c>
      <x:c r="K1" s="14" t="str">
        <x:v>avg_value_eur_m</x:v>
      </x:c>
      <x:c r="L1" s="16" t="str">
        <x:v>adjusted_form_score</x:v>
      </x:c>
      <x:c r="M1" s="16" t="str">
        <x:v>points_per_match</x:v>
      </x:c>
      <x:c r="N1" s="16" t="str">
        <x:v>goal_diff</x:v>
      </x:c>
      <x:c r="O1" s="16" t="str">
        <x:v>recent3_points</x:v>
      </x:c>
      <x:c r="P1" s="6" t="str">
        <x:v>status</x:v>
      </x:c>
    </x:row>
    <x:row r="2">
      <x:c r="A2" t="str">
        <x:v>Argentina</x:v>
      </x:c>
      <x:c r="B2" t="str">
        <x:v>阿根廷</x:v>
      </x:c>
      <x:c r="C2" t="str">
        <x:v>CONMEBOL</x:v>
      </x:c>
      <x:c r="D2" t="str">
        <x:v>否</x:v>
      </x:c>
      <x:c r="E2" t="n">
        <x:v>1</x:v>
      </x:c>
      <x:c r="F2" t="n">
        <x:v>1877.27</x:v>
      </x:c>
      <x:c r="G2" t="n">
        <x:v>1</x:v>
      </x:c>
      <x:c r="H2" t="n">
        <x:v>2148</x:v>
      </x:c>
      <x:c r="I2" t="n">
        <x:v>807.5</x:v>
      </x:c>
      <x:c r="J2" t="n">
        <x:v>29.2</x:v>
      </x:c>
      <x:c r="K2" t="n">
        <x:v>31.06</x:v>
      </x:c>
      <x:c r="L2" t="n">
        <x:v>6.4756</x:v>
      </x:c>
      <x:c r="M2" t="n">
        <x:v>3</x:v>
      </x:c>
      <x:c r="N2" t="n">
        <x:v>7</x:v>
      </x:c>
      <x:c r="O2" t="n">
        <x:v>9</x:v>
      </x:c>
      <x:c r="P2" t="str">
        <x:v>R32 未赛/待预测</x:v>
      </x:c>
    </x:row>
    <x:row r="3">
      <x:c r="A3" t="str">
        <x:v>Spain</x:v>
      </x:c>
      <x:c r="B3" t="str">
        <x:v>西班牙</x:v>
      </x:c>
      <x:c r="C3" t="str">
        <x:v>UEFA</x:v>
      </x:c>
      <x:c r="D3" t="str">
        <x:v>否</x:v>
      </x:c>
      <x:c r="E3" t="n">
        <x:v>2</x:v>
      </x:c>
      <x:c r="F3" t="n">
        <x:v>1874.71</x:v>
      </x:c>
      <x:c r="G3" t="n">
        <x:v>2</x:v>
      </x:c>
      <x:c r="H3" t="n">
        <x:v>2144</x:v>
      </x:c>
      <x:c r="I3" t="n">
        <x:v>1220</x:v>
      </x:c>
      <x:c r="J3" t="n">
        <x:v>26.8</x:v>
      </x:c>
      <x:c r="K3" t="n">
        <x:v>47.03</x:v>
      </x:c>
      <x:c r="L3" t="n">
        <x:v>5.1466</x:v>
      </x:c>
      <x:c r="M3" t="n">
        <x:v>2.333</x:v>
      </x:c>
      <x:c r="N3" t="n">
        <x:v>5</x:v>
      </x:c>
      <x:c r="O3" t="n">
        <x:v>7</x:v>
      </x:c>
      <x:c r="P3" t="str">
        <x:v>R32 未赛/待预测</x:v>
      </x:c>
    </x:row>
    <x:row r="4">
      <x:c r="A4" t="str">
        <x:v>France</x:v>
      </x:c>
      <x:c r="B4" t="str">
        <x:v>法国</x:v>
      </x:c>
      <x:c r="C4" t="str">
        <x:v>UEFA</x:v>
      </x:c>
      <x:c r="D4" t="str">
        <x:v>否</x:v>
      </x:c>
      <x:c r="E4" t="n">
        <x:v>3</x:v>
      </x:c>
      <x:c r="F4" t="n">
        <x:v>1870.7</x:v>
      </x:c>
      <x:c r="G4" t="n">
        <x:v>3</x:v>
      </x:c>
      <x:c r="H4" t="n">
        <x:v>2134</x:v>
      </x:c>
      <x:c r="I4" t="n">
        <x:v>1520</x:v>
      </x:c>
      <x:c r="J4" t="n">
        <x:v>27.1</x:v>
      </x:c>
      <x:c r="K4" t="n">
        <x:v>58.58</x:v>
      </x:c>
      <x:c r="L4" t="n">
        <x:v>7.8443</x:v>
      </x:c>
      <x:c r="M4" t="n">
        <x:v>3</x:v>
      </x:c>
      <x:c r="N4" t="n">
        <x:v>11</x:v>
      </x:c>
      <x:c r="O4" t="n">
        <x:v>9</x:v>
      </x:c>
      <x:c r="P4" t="str">
        <x:v>R16 已晋级</x:v>
      </x:c>
    </x:row>
    <x:row r="5">
      <x:c r="A5" t="str">
        <x:v>England</x:v>
      </x:c>
      <x:c r="B5" t="str">
        <x:v>英格兰</x:v>
      </x:c>
      <x:c r="C5" t="str">
        <x:v>UEFA</x:v>
      </x:c>
      <x:c r="D5" t="str">
        <x:v>否</x:v>
      </x:c>
      <x:c r="E5" t="n">
        <x:v>4</x:v>
      </x:c>
      <x:c r="F5" t="n">
        <x:v>1828.02</x:v>
      </x:c>
      <x:c r="G5" t="n">
        <x:v>4</x:v>
      </x:c>
      <x:c r="H5" t="n">
        <x:v>2038</x:v>
      </x:c>
      <x:c r="I5" t="n">
        <x:v>1360</x:v>
      </x:c>
      <x:c r="J5" t="n">
        <x:v>27.4</x:v>
      </x:c>
      <x:c r="K5" t="n">
        <x:v>52.24</x:v>
      </x:c>
      <x:c r="L5" t="n">
        <x:v>5.9981</x:v>
      </x:c>
      <x:c r="M5" t="n">
        <x:v>2.333</x:v>
      </x:c>
      <x:c r="N5" t="n">
        <x:v>4</x:v>
      </x:c>
      <x:c r="O5" t="n">
        <x:v>7</x:v>
      </x:c>
      <x:c r="P5" t="str">
        <x:v>R32 未赛/待预测</x:v>
      </x:c>
    </x:row>
    <x:row r="6">
      <x:c r="A6" t="str">
        <x:v>Portugal</x:v>
      </x:c>
      <x:c r="B6" t="str">
        <x:v>葡萄牙</x:v>
      </x:c>
      <x:c r="C6" t="str">
        <x:v>UEFA</x:v>
      </x:c>
      <x:c r="D6" t="str">
        <x:v>否</x:v>
      </x:c>
      <x:c r="E6" t="n">
        <x:v>5</x:v>
      </x:c>
      <x:c r="F6" t="n">
        <x:v>1767.85</x:v>
      </x:c>
      <x:c r="G6" t="n">
        <x:v>7</x:v>
      </x:c>
      <x:c r="H6" t="n">
        <x:v>1990</x:v>
      </x:c>
      <x:c r="I6" t="n">
        <x:v>1010</x:v>
      </x:c>
      <x:c r="J6" t="n">
        <x:v>28.1</x:v>
      </x:c>
      <x:c r="K6" t="n">
        <x:v>38.67</x:v>
      </x:c>
      <x:c r="L6" t="n">
        <x:v>3.0868</x:v>
      </x:c>
      <x:c r="M6" t="n">
        <x:v>1.667</x:v>
      </x:c>
      <x:c r="N6" t="n">
        <x:v>5</x:v>
      </x:c>
      <x:c r="O6" t="n">
        <x:v>5</x:v>
      </x:c>
      <x:c r="P6" t="str">
        <x:v>R32 未赛/待预测</x:v>
      </x:c>
    </x:row>
    <x:row r="7">
      <x:c r="A7" t="str">
        <x:v>Brazil</x:v>
      </x:c>
      <x:c r="B7" t="str">
        <x:v>巴西</x:v>
      </x:c>
      <x:c r="C7" t="str">
        <x:v>CONMEBOL</x:v>
      </x:c>
      <x:c r="D7" t="str">
        <x:v>否</x:v>
      </x:c>
      <x:c r="E7" t="n">
        <x:v>6</x:v>
      </x:c>
      <x:c r="F7" t="n">
        <x:v>1765.86</x:v>
      </x:c>
      <x:c r="G7" t="n">
        <x:v>5</x:v>
      </x:c>
      <x:c r="H7" t="n">
        <x:v>2031</x:v>
      </x:c>
      <x:c r="I7" t="n">
        <x:v>928.2</x:v>
      </x:c>
      <x:c r="J7" t="n">
        <x:v>29.4</x:v>
      </x:c>
      <x:c r="K7" t="n">
        <x:v>35.7</x:v>
      </x:c>
      <x:c r="L7" t="n">
        <x:v>5.3056</x:v>
      </x:c>
      <x:c r="M7" t="n">
        <x:v>2.5</x:v>
      </x:c>
      <x:c r="N7" t="n">
        <x:v>7</x:v>
      </x:c>
      <x:c r="O7" t="n">
        <x:v>9</x:v>
      </x:c>
      <x:c r="P7" t="str">
        <x:v>R16 已晋级</x:v>
      </x:c>
    </x:row>
    <x:row r="8">
      <x:c r="A8" t="str">
        <x:v>Morocco</x:v>
      </x:c>
      <x:c r="B8" t="str">
        <x:v>摩洛哥</x:v>
      </x:c>
      <x:c r="C8" t="str">
        <x:v>CAF</x:v>
      </x:c>
      <x:c r="D8" t="str">
        <x:v>否</x:v>
      </x:c>
      <x:c r="E8" t="n">
        <x:v>7</x:v>
      </x:c>
      <x:c r="F8" t="n">
        <x:v>1755.1</x:v>
      </x:c>
      <x:c r="G8" t="n">
        <x:v>15</x:v>
      </x:c>
      <x:c r="H8" t="n">
        <x:v>1886</x:v>
      </x:c>
      <x:c r="I8" t="n">
        <x:v>447.7</x:v>
      </x:c>
      <x:c r="J8" t="n">
        <x:v>26.7</x:v>
      </x:c>
      <x:c r="K8" t="n">
        <x:v>17.22</x:v>
      </x:c>
      <x:c r="L8" t="n">
        <x:v>5.4066</x:v>
      </x:c>
      <x:c r="M8" t="n">
        <x:v>2.5</x:v>
      </x:c>
      <x:c r="N8" t="n">
        <x:v>3</x:v>
      </x:c>
      <x:c r="O8" t="n">
        <x:v>9</x:v>
      </x:c>
      <x:c r="P8" t="str">
        <x:v>R16 已晋级</x:v>
      </x:c>
    </x:row>
    <x:row r="9">
      <x:c r="A9" t="str">
        <x:v>Belgium</x:v>
      </x:c>
      <x:c r="B9" t="str">
        <x:v>比利时</x:v>
      </x:c>
      <x:c r="C9" t="str">
        <x:v>UEFA</x:v>
      </x:c>
      <x:c r="D9" t="str">
        <x:v>否</x:v>
      </x:c>
      <x:c r="E9" t="n">
        <x:v>9</x:v>
      </x:c>
      <x:c r="F9" t="n">
        <x:v>1742.24</x:v>
      </x:c>
      <x:c r="G9" t="n">
        <x:v>16</x:v>
      </x:c>
      <x:c r="H9" t="n">
        <x:v>1884</x:v>
      </x:c>
      <x:c r="I9" t="n">
        <x:v>547.5</x:v>
      </x:c>
      <x:c r="J9" t="n">
        <x:v>27.7</x:v>
      </x:c>
      <x:c r="K9" t="n">
        <x:v>21.06</x:v>
      </x:c>
      <x:c r="L9" t="n">
        <x:v>2.4574</x:v>
      </x:c>
      <x:c r="M9" t="n">
        <x:v>1.667</x:v>
      </x:c>
      <x:c r="N9" t="n">
        <x:v>4</x:v>
      </x:c>
      <x:c r="O9" t="n">
        <x:v>5</x:v>
      </x:c>
      <x:c r="P9" t="str">
        <x:v>R32 未赛/待预测</x:v>
      </x:c>
    </x:row>
    <x:row r="10">
      <x:c r="A10" t="str">
        <x:v>Croatia</x:v>
      </x:c>
      <x:c r="B10" t="str">
        <x:v>克罗地亚</x:v>
      </x:c>
      <x:c r="C10" t="str">
        <x:v>UEFA</x:v>
      </x:c>
      <x:c r="D10" t="str">
        <x:v>否</x:v>
      </x:c>
      <x:c r="E10" t="n">
        <x:v>11</x:v>
      </x:c>
      <x:c r="F10" t="n">
        <x:v>1714.87</x:v>
      </x:c>
      <x:c r="G10" t="n">
        <x:v>13</x:v>
      </x:c>
      <x:c r="H10" t="n">
        <x:v>1905</x:v>
      </x:c>
      <x:c r="I10" t="n">
        <x:v>387.3</x:v>
      </x:c>
      <x:c r="J10" t="n">
        <x:v>28.4</x:v>
      </x:c>
      <x:c r="K10" t="n">
        <x:v>14.9</x:v>
      </x:c>
      <x:c r="L10" t="n">
        <x:v>2.5637</x:v>
      </x:c>
      <x:c r="M10" t="n">
        <x:v>2</x:v>
      </x:c>
      <x:c r="N10" t="n">
        <x:v>0</x:v>
      </x:c>
      <x:c r="O10" t="n">
        <x:v>6</x:v>
      </x:c>
      <x:c r="P10" t="str">
        <x:v>R32 未赛/待预测</x:v>
      </x:c>
    </x:row>
    <x:row r="11">
      <x:c r="A11" t="str">
        <x:v>Colombia</x:v>
      </x:c>
      <x:c r="B11" t="str">
        <x:v>哥伦比亚</x:v>
      </x:c>
      <x:c r="C11" t="str">
        <x:v>CONMEBOL</x:v>
      </x:c>
      <x:c r="D11" t="str">
        <x:v>否</x:v>
      </x:c>
      <x:c r="E11" t="n">
        <x:v>13</x:v>
      </x:c>
      <x:c r="F11" t="n">
        <x:v>1698.35</x:v>
      </x:c>
      <x:c r="G11" t="n">
        <x:v>6</x:v>
      </x:c>
      <x:c r="H11" t="n">
        <x:v>2004</x:v>
      </x:c>
      <x:c r="I11" t="n">
        <x:v>302.35</x:v>
      </x:c>
      <x:c r="J11" t="n">
        <x:v>30.2</x:v>
      </x:c>
      <x:c r="K11" t="n">
        <x:v>11.63</x:v>
      </x:c>
      <x:c r="L11" t="n">
        <x:v>4.4344</x:v>
      </x:c>
      <x:c r="M11" t="n">
        <x:v>2.333</x:v>
      </x:c>
      <x:c r="N11" t="n">
        <x:v>3</x:v>
      </x:c>
      <x:c r="O11" t="n">
        <x:v>7</x:v>
      </x:c>
      <x:c r="P11" t="str">
        <x:v>R32 未赛/待预测</x:v>
      </x:c>
    </x:row>
    <x:row r="12">
      <x:c r="A12" t="str">
        <x:v>Mexico</x:v>
      </x:c>
      <x:c r="B12" t="str">
        <x:v>墨西哥</x:v>
      </x:c>
      <x:c r="C12" t="str">
        <x:v>CONCACAF</x:v>
      </x:c>
      <x:c r="D12" t="str">
        <x:v>是</x:v>
      </x:c>
      <x:c r="E12" t="n">
        <x:v>14</x:v>
      </x:c>
      <x:c r="F12" t="n">
        <x:v>1687.48</x:v>
      </x:c>
      <x:c r="G12" t="n">
        <x:v>9</x:v>
      </x:c>
      <x:c r="H12" t="n">
        <x:v>1943</x:v>
      </x:c>
      <x:c r="I12" t="n">
        <x:v>191.85</x:v>
      </x:c>
      <x:c r="J12" t="n">
        <x:v>28</x:v>
      </x:c>
      <x:c r="K12" t="n">
        <x:v>7.38</x:v>
      </x:c>
      <x:c r="L12" t="n">
        <x:v>6.5105</x:v>
      </x:c>
      <x:c r="M12" t="n">
        <x:v>3</x:v>
      </x:c>
      <x:c r="N12" t="n">
        <x:v>8</x:v>
      </x:c>
      <x:c r="O12" t="n">
        <x:v>9</x:v>
      </x:c>
      <x:c r="P12" t="str">
        <x:v>R16 已晋级</x:v>
      </x:c>
    </x:row>
    <x:row r="13">
      <x:c r="A13" t="str">
        <x:v>Senegal</x:v>
      </x:c>
      <x:c r="B13" t="str">
        <x:v>塞内加尔</x:v>
      </x:c>
      <x:c r="C13" t="str">
        <x:v>CAF</x:v>
      </x:c>
      <x:c r="D13" t="str">
        <x:v>否</x:v>
      </x:c>
      <x:c r="E13" t="n">
        <x:v>15</x:v>
      </x:c>
      <x:c r="F13" t="n">
        <x:v>1684.07</x:v>
      </x:c>
      <x:c r="G13" t="n">
        <x:v>21</x:v>
      </x:c>
      <x:c r="H13" t="n">
        <x:v>1842</x:v>
      </x:c>
      <x:c r="I13" t="n">
        <x:v>478.1</x:v>
      </x:c>
      <x:c r="J13" t="n">
        <x:v>27.2</x:v>
      </x:c>
      <x:c r="K13" t="n">
        <x:v>18.39</x:v>
      </x:c>
      <x:c r="L13" t="n">
        <x:v>0.8154</x:v>
      </x:c>
      <x:c r="M13" t="n">
        <x:v>1</x:v>
      </x:c>
      <x:c r="N13" t="n">
        <x:v>2</x:v>
      </x:c>
      <x:c r="O13" t="n">
        <x:v>3</x:v>
      </x:c>
      <x:c r="P13" t="str">
        <x:v>R32 未赛/待预测</x:v>
      </x:c>
    </x:row>
    <x:row r="14">
      <x:c r="A14" t="str">
        <x:v>United States</x:v>
      </x:c>
      <x:c r="B14" t="str">
        <x:v>美国</x:v>
      </x:c>
      <x:c r="C14" t="str">
        <x:v>CONCACAF</x:v>
      </x:c>
      <x:c r="D14" t="str">
        <x:v>是</x:v>
      </x:c>
      <x:c r="E14" t="n">
        <x:v>17</x:v>
      </x:c>
      <x:c r="F14" t="n">
        <x:v>1671.23</x:v>
      </x:c>
      <x:c r="G14" t="n">
        <x:v>27</x:v>
      </x:c>
      <x:c r="H14" t="n">
        <x:v>1781</x:v>
      </x:c>
      <x:c r="I14" t="n">
        <x:v>385.65</x:v>
      </x:c>
      <x:c r="J14" t="n">
        <x:v>27</x:v>
      </x:c>
      <x:c r="K14" t="n">
        <x:v>14.83</x:v>
      </x:c>
      <x:c r="L14" t="n">
        <x:v>4.2542</x:v>
      </x:c>
      <x:c r="M14" t="n">
        <x:v>2</x:v>
      </x:c>
      <x:c r="N14" t="n">
        <x:v>4</x:v>
      </x:c>
      <x:c r="O14" t="n">
        <x:v>6</x:v>
      </x:c>
      <x:c r="P14" t="str">
        <x:v>R32 未赛/待预测</x:v>
      </x:c>
    </x:row>
    <x:row r="15">
      <x:c r="A15" t="str">
        <x:v>Switzerland</x:v>
      </x:c>
      <x:c r="B15" t="str">
        <x:v>瑞士</x:v>
      </x:c>
      <x:c r="C15" t="str">
        <x:v>UEFA</x:v>
      </x:c>
      <x:c r="D15" t="str">
        <x:v>否</x:v>
      </x:c>
      <x:c r="E15" t="n">
        <x:v>19</x:v>
      </x:c>
      <x:c r="F15" t="n">
        <x:v>1650.06</x:v>
      </x:c>
      <x:c r="G15" t="n">
        <x:v>11</x:v>
      </x:c>
      <x:c r="H15" t="n">
        <x:v>1914</x:v>
      </x:c>
      <x:c r="I15" t="n">
        <x:v>332.5</x:v>
      </x:c>
      <x:c r="J15" t="n">
        <x:v>28.4</x:v>
      </x:c>
      <x:c r="K15" t="n">
        <x:v>12.79</x:v>
      </x:c>
      <x:c r="L15" t="n">
        <x:v>4.095</x:v>
      </x:c>
      <x:c r="M15" t="n">
        <x:v>2.333</x:v>
      </x:c>
      <x:c r="N15" t="n">
        <x:v>4</x:v>
      </x:c>
      <x:c r="O15" t="n">
        <x:v>7</x:v>
      </x:c>
      <x:c r="P15" t="str">
        <x:v>R32 未赛/待预测</x:v>
      </x:c>
    </x:row>
    <x:row r="16">
      <x:c r="A16" t="str">
        <x:v>Austria</x:v>
      </x:c>
      <x:c r="B16" t="str">
        <x:v>奥地利</x:v>
      </x:c>
      <x:c r="C16" t="str">
        <x:v>UEFA</x:v>
      </x:c>
      <x:c r="D16" t="str">
        <x:v>否</x:v>
      </x:c>
      <x:c r="E16" t="n">
        <x:v>24</x:v>
      </x:c>
      <x:c r="F16" t="n">
        <x:v>1597.4</x:v>
      </x:c>
      <x:c r="G16"/>
      <x:c r="H16"/>
      <x:c r="I16" t="n">
        <x:v>245.2</x:v>
      </x:c>
      <x:c r="J16" t="n">
        <x:v>28.7</x:v>
      </x:c>
      <x:c r="K16" t="n">
        <x:v>9.43</x:v>
      </x:c>
      <x:c r="L16" t="n">
        <x:v>1.1912</x:v>
      </x:c>
      <x:c r="M16" t="n">
        <x:v>1.333</x:v>
      </x:c>
      <x:c r="N16" t="n">
        <x:v>0</x:v>
      </x:c>
      <x:c r="O16" t="n">
        <x:v>4</x:v>
      </x:c>
      <x:c r="P16" t="str">
        <x:v>R32 未赛/待预测</x:v>
      </x:c>
    </x:row>
    <x:row r="17">
      <x:c r="A17" t="str">
        <x:v>Australia</x:v>
      </x:c>
      <x:c r="B17" t="str">
        <x:v>澳大利亚</x:v>
      </x:c>
      <x:c r="C17" t="str">
        <x:v>AFC</x:v>
      </x:c>
      <x:c r="D17" t="str">
        <x:v>否</x:v>
      </x:c>
      <x:c r="E17" t="n">
        <x:v>27</x:v>
      </x:c>
      <x:c r="F17" t="n">
        <x:v>1579.34</x:v>
      </x:c>
      <x:c r="G17"/>
      <x:c r="H17"/>
      <x:c r="I17" t="n">
        <x:v>77.45</x:v>
      </x:c>
      <x:c r="J17" t="n">
        <x:v>27.4</x:v>
      </x:c>
      <x:c r="K17" t="n">
        <x:v>2.98</x:v>
      </x:c>
      <x:c r="L17" t="n">
        <x:v>2.5559</x:v>
      </x:c>
      <x:c r="M17" t="n">
        <x:v>1.333</x:v>
      </x:c>
      <x:c r="N17" t="n">
        <x:v>0</x:v>
      </x:c>
      <x:c r="O17" t="n">
        <x:v>4</x:v>
      </x:c>
      <x:c r="P17" t="str">
        <x:v>R32 未赛/待预测</x:v>
      </x:c>
    </x:row>
    <x:row r="18">
      <x:c r="A18" t="str">
        <x:v>Algeria</x:v>
      </x:c>
      <x:c r="B18" t="str">
        <x:v>阿尔及利亚</x:v>
      </x:c>
      <x:c r="C18" t="str">
        <x:v>CAF</x:v>
      </x:c>
      <x:c r="D18" t="str">
        <x:v>否</x:v>
      </x:c>
      <x:c r="E18" t="n">
        <x:v>28</x:v>
      </x:c>
      <x:c r="F18" t="n">
        <x:v>1571.03</x:v>
      </x:c>
      <x:c r="G18"/>
      <x:c r="H18"/>
      <x:c r="I18" t="n">
        <x:v>256.9</x:v>
      </x:c>
      <x:c r="J18" t="n">
        <x:v>26.9</x:v>
      </x:c>
      <x:c r="K18" t="n">
        <x:v>9.88</x:v>
      </x:c>
      <x:c r="L18" t="n">
        <x:v>0.7244</x:v>
      </x:c>
      <x:c r="M18" t="n">
        <x:v>1.333</x:v>
      </x:c>
      <x:c r="N18" t="n">
        <x:v>-2</x:v>
      </x:c>
      <x:c r="O18" t="n">
        <x:v>4</x:v>
      </x:c>
      <x:c r="P18" t="str">
        <x:v>R32 未赛/待预测</x:v>
      </x:c>
    </x:row>
    <x:row r="19">
      <x:c r="A19" t="str">
        <x:v>Egypt</x:v>
      </x:c>
      <x:c r="B19" t="str">
        <x:v>埃及</x:v>
      </x:c>
      <x:c r="C19" t="str">
        <x:v>CAF</x:v>
      </x:c>
      <x:c r="D19" t="str">
        <x:v>否</x:v>
      </x:c>
      <x:c r="E19" t="n">
        <x:v>29</x:v>
      </x:c>
      <x:c r="F19" t="n">
        <x:v>1562.37</x:v>
      </x:c>
      <x:c r="G19"/>
      <x:c r="H19"/>
      <x:c r="I19" t="n">
        <x:v>116.48</x:v>
      </x:c>
      <x:c r="J19" t="n">
        <x:v>29.1</x:v>
      </x:c>
      <x:c r="K19" t="n">
        <x:v>4.48</x:v>
      </x:c>
      <x:c r="L19" t="n">
        <x:v>2.7735</x:v>
      </x:c>
      <x:c r="M19" t="n">
        <x:v>1.667</x:v>
      </x:c>
      <x:c r="N19" t="n">
        <x:v>2</x:v>
      </x:c>
      <x:c r="O19" t="n">
        <x:v>5</x:v>
      </x:c>
      <x:c r="P19" t="str">
        <x:v>R32 未赛/待预测</x:v>
      </x:c>
    </x:row>
    <x:row r="20">
      <x:c r="A20" t="str">
        <x:v>Canada</x:v>
      </x:c>
      <x:c r="B20" t="str">
        <x:v>加拿大</x:v>
      </x:c>
      <x:c r="C20" t="str">
        <x:v>CONCACAF</x:v>
      </x:c>
      <x:c r="D20" t="str">
        <x:v>是</x:v>
      </x:c>
      <x:c r="E20" t="n">
        <x:v>30</x:v>
      </x:c>
      <x:c r="F20" t="n">
        <x:v>1559.48</x:v>
      </x:c>
      <x:c r="G20"/>
      <x:c r="H20"/>
      <x:c r="I20" t="n">
        <x:v>198.65</x:v>
      </x:c>
      <x:c r="J20" t="n">
        <x:v>27.1</x:v>
      </x:c>
      <x:c r="K20" t="n">
        <x:v>7.64</x:v>
      </x:c>
      <x:c r="L20" t="n">
        <x:v>2.6149</x:v>
      </x:c>
      <x:c r="M20" t="n">
        <x:v>1.75</x:v>
      </x:c>
      <x:c r="N20" t="n">
        <x:v>6</x:v>
      </x:c>
      <x:c r="O20" t="n">
        <x:v>6</x:v>
      </x:c>
      <x:c r="P20" t="str">
        <x:v>R16 已晋级</x:v>
      </x:c>
    </x:row>
    <x:row r="21">
      <x:c r="A21" t="str">
        <x:v>Norway</x:v>
      </x:c>
      <x:c r="B21" t="str">
        <x:v>挪威</x:v>
      </x:c>
      <x:c r="C21" t="str">
        <x:v>UEFA</x:v>
      </x:c>
      <x:c r="D21" t="str">
        <x:v>否</x:v>
      </x:c>
      <x:c r="E21" t="n">
        <x:v>31</x:v>
      </x:c>
      <x:c r="F21" t="n">
        <x:v>1557.44</x:v>
      </x:c>
      <x:c r="G21" t="n">
        <x:v>10</x:v>
      </x:c>
      <x:c r="H21" t="n">
        <x:v>1934</x:v>
      </x:c>
      <x:c r="I21" t="n">
        <x:v>589.9</x:v>
      </x:c>
      <x:c r="J21" t="n">
        <x:v>26.9</x:v>
      </x:c>
      <x:c r="K21" t="n">
        <x:v>22.69</x:v>
      </x:c>
      <x:c r="L21" t="n">
        <x:v>4.1067</x:v>
      </x:c>
      <x:c r="M21" t="n">
        <x:v>2.25</x:v>
      </x:c>
      <x:c r="N21" t="n">
        <x:v>2</x:v>
      </x:c>
      <x:c r="O21" t="n">
        <x:v>6</x:v>
      </x:c>
      <x:c r="P21" t="str">
        <x:v>R16 已晋级</x:v>
      </x:c>
    </x:row>
    <x:row r="22">
      <x:c r="A22" t="str">
        <x:v>Paraguay</x:v>
      </x:c>
      <x:c r="B22" t="str">
        <x:v>巴拉圭</x:v>
      </x:c>
      <x:c r="C22" t="str">
        <x:v>CONMEBOL</x:v>
      </x:c>
      <x:c r="D22" t="str">
        <x:v>否</x:v>
      </x:c>
      <x:c r="E22" t="n">
        <x:v>41</x:v>
      </x:c>
      <x:c r="F22" t="n">
        <x:v>1505.35</x:v>
      </x:c>
      <x:c r="G22"/>
      <x:c r="H22"/>
      <x:c r="I22" t="n">
        <x:v>153.65</x:v>
      </x:c>
      <x:c r="J22" t="n">
        <x:v>29.1</x:v>
      </x:c>
      <x:c r="K22" t="n">
        <x:v>5.91</x:v>
      </x:c>
      <x:c r="L22" t="n">
        <x:v>4.3966</x:v>
      </x:c>
      <x:c r="M22" t="n">
        <x:v>1.75</x:v>
      </x:c>
      <x:c r="N22" t="n">
        <x:v>-2</x:v>
      </x:c>
      <x:c r="O22" t="n">
        <x:v>7</x:v>
      </x:c>
      <x:c r="P22" t="str">
        <x:v>R16 已晋级</x:v>
      </x:c>
    </x:row>
    <x:row r="23">
      <x:c r="A23" t="str">
        <x:v>DR Congo</x:v>
      </x:c>
      <x:c r="B23" t="str">
        <x:v>刚果民主共和国</x:v>
      </x:c>
      <x:c r="C23" t="str">
        <x:v>CAF</x:v>
      </x:c>
      <x:c r="D23" t="str">
        <x:v>否</x:v>
      </x:c>
      <x:c r="E23" t="n">
        <x:v>46</x:v>
      </x:c>
      <x:c r="F23" t="n">
        <x:v>1474.43</x:v>
      </x:c>
      <x:c r="G23"/>
      <x:c r="H23"/>
      <x:c r="I23" t="n">
        <x:v>143.9</x:v>
      </x:c>
      <x:c r="J23" t="n">
        <x:v>29.1</x:v>
      </x:c>
      <x:c r="K23" t="n">
        <x:v>5.53</x:v>
      </x:c>
      <x:c r="L23" t="n">
        <x:v>2.5488</x:v>
      </x:c>
      <x:c r="M23" t="n">
        <x:v>1.333</x:v>
      </x:c>
      <x:c r="N23" t="n">
        <x:v>1</x:v>
      </x:c>
      <x:c r="O23" t="n">
        <x:v>4</x:v>
      </x:c>
      <x:c r="P23" t="str">
        <x:v>R32 未赛/待预测</x:v>
      </x:c>
    </x:row>
    <x:row r="24">
      <x:c r="A24" t="str">
        <x:v>Bosnia-Herzegovina</x:v>
      </x:c>
      <x:c r="B24" t="str">
        <x:v>波黑</x:v>
      </x:c>
      <x:c r="C24" t="str">
        <x:v>UEFA</x:v>
      </x:c>
      <x:c r="D24" t="str">
        <x:v>否</x:v>
      </x:c>
      <x:c r="E24" t="n">
        <x:v>64</x:v>
      </x:c>
      <x:c r="F24" t="n">
        <x:v>1387</x:v>
      </x:c>
      <x:c r="G24"/>
      <x:c r="H24"/>
      <x:c r="I24" t="n">
        <x:v>146.4</x:v>
      </x:c>
      <x:c r="J24" t="n">
        <x:v>26.5</x:v>
      </x:c>
      <x:c r="K24" t="n">
        <x:v>5.63</x:v>
      </x:c>
      <x:c r="L24" t="n">
        <x:v>1.6773</x:v>
      </x:c>
      <x:c r="M24" t="n">
        <x:v>1.333</x:v>
      </x:c>
      <x:c r="N24" t="n">
        <x:v>-1</x:v>
      </x:c>
      <x:c r="O24" t="n">
        <x:v>4</x:v>
      </x:c>
      <x:c r="P24" t="str">
        <x:v>R32 未赛/待预测</x:v>
      </x:c>
    </x:row>
    <x:row r="25">
      <x:c r="A25" t="str">
        <x:v>Cape Verde</x:v>
      </x:c>
      <x:c r="B25" t="str">
        <x:v>佛得角</x:v>
      </x:c>
      <x:c r="C25" t="str">
        <x:v>CAF</x:v>
      </x:c>
      <x:c r="D25" t="str">
        <x:v>否</x:v>
      </x:c>
      <x:c r="E25" t="n">
        <x:v>67</x:v>
      </x:c>
      <x:c r="F25" t="n">
        <x:v>1371</x:v>
      </x:c>
      <x:c r="G25"/>
      <x:c r="H25"/>
      <x:c r="I25" t="n">
        <x:v>54.5</x:v>
      </x:c>
      <x:c r="J25" t="n">
        <x:v>29.8</x:v>
      </x:c>
      <x:c r="K25" t="n">
        <x:v>2.1</x:v>
      </x:c>
      <x:c r="L25" t="n">
        <x:v>2.9308</x:v>
      </x:c>
      <x:c r="M25" t="n">
        <x:v>1</x:v>
      </x:c>
      <x:c r="N25" t="n">
        <x:v>0</x:v>
      </x:c>
      <x:c r="O25" t="n">
        <x:v>3</x:v>
      </x:c>
      <x:c r="P25" t="str">
        <x:v>R32 未赛/待预测</x:v>
      </x:c>
    </x:row>
    <x:row r="26">
      <x:c r="A26" t="str">
        <x:v>Ghana</x:v>
      </x:c>
      <x:c r="B26" t="str">
        <x:v>加纳</x:v>
      </x:c>
      <x:c r="C26" t="str">
        <x:v>CAF</x:v>
      </x:c>
      <x:c r="D26" t="str">
        <x:v>否</x:v>
      </x:c>
      <x:c r="E26" t="n">
        <x:v>73</x:v>
      </x:c>
      <x:c r="F26" t="n">
        <x:v>1346</x:v>
      </x:c>
      <x:c r="G26"/>
      <x:c r="H26"/>
      <x:c r="I26" t="n">
        <x:v>234.35</x:v>
      </x:c>
      <x:c r="J26" t="n">
        <x:v>27.1</x:v>
      </x:c>
      <x:c r="K26" t="n">
        <x:v>9.01</x:v>
      </x:c>
      <x:c r="L26" t="n">
        <x:v>3.1057</x:v>
      </x:c>
      <x:c r="M26" t="n">
        <x:v>1.333</x:v>
      </x:c>
      <x:c r="N26" t="n">
        <x:v>0</x:v>
      </x:c>
      <x:c r="O26" t="n">
        <x:v>4</x:v>
      </x:c>
      <x:c r="P26" t="str">
        <x:v>R32 未赛/待预测</x:v>
      </x:c>
    </x:row>
  </x:sheetData>
  <x:pageMargins left="0.7" right="0.7" top="0.75" bottom="0.75" header="0.3" footer="0.3"/>
  <x:tableParts count="1">
    <x:tablePart xmlns:r="http://schemas.openxmlformats.org/officeDocument/2006/relationships" r:id="R983aee2812db46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risk_profile</x:v>
      </x:c>
      <x:c r="B1" s="6" t="str">
        <x:v>stake_rule_note</x:v>
      </x:c>
      <x:c r="C1" s="6" t="str">
        <x:v>negative_or_zero_ev</x:v>
      </x:c>
      <x:c r="D1" s="6" t="str">
        <x:v>low_edge</x:v>
      </x:c>
      <x:c r="E1" s="6" t="str">
        <x:v>medium_edge</x:v>
      </x:c>
      <x:c r="F1" s="6" t="str">
        <x:v>high_edge</x:v>
      </x:c>
      <x:c r="G1" s="6" t="str">
        <x:v>very_high_edge</x:v>
      </x:c>
    </x:row>
    <x:row r="2">
      <x:c r="A2" t="str">
        <x:v>保守</x:v>
      </x:c>
      <x:c r="B2" t="str">
        <x:v>低频下注，宁愿少投；上限通常 100 金球。</x:v>
      </x:c>
      <x:c r="C2" t="n">
        <x:v>0</x:v>
      </x:c>
      <x:c r="D2" t="n">
        <x:v>10</x:v>
      </x:c>
      <x:c r="E2" t="n">
        <x:v>20</x:v>
      </x:c>
      <x:c r="F2" t="n">
        <x:v>50</x:v>
      </x:c>
      <x:c r="G2" t="n">
        <x:v>100</x:v>
      </x:c>
    </x:row>
    <x:row r="3">
      <x:c r="A3" t="str">
        <x:v>均衡</x:v>
      </x:c>
      <x:c r="B3" t="str">
        <x:v>中性风险偏好；正 EV 时逐级放大，最高 500。</x:v>
      </x:c>
      <x:c r="C3" t="n">
        <x:v>0</x:v>
      </x:c>
      <x:c r="D3" t="n">
        <x:v>10</x:v>
      </x:c>
      <x:c r="E3" t="n">
        <x:v>20</x:v>
      </x:c>
      <x:c r="F3" t="n">
        <x:v>50</x:v>
      </x:c>
      <x:c r="G3" t="n">
        <x:v>100</x:v>
      </x:c>
    </x:row>
    <x:row r="4">
      <x:c r="A4" t="str">
        <x:v>进取</x:v>
      </x:c>
      <x:c r="B4" t="str">
        <x:v>更愿意押高赔率/高边际机会；最高 500。</x:v>
      </x:c>
      <x:c r="C4" t="n">
        <x:v>0</x:v>
      </x:c>
      <x:c r="D4" t="n">
        <x:v>20</x:v>
      </x:c>
      <x:c r="E4" t="n">
        <x:v>50</x:v>
      </x:c>
      <x:c r="F4" t="n">
        <x:v>100</x:v>
      </x:c>
      <x:c r="G4" t="n">
        <x:v>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2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10" hidden="0" customWidth="1"/>
    <x:col min="22" max="22" width="10" hidden="0" customWidth="1"/>
    <x:col min="23" max="23" width="10" hidden="0" customWidth="1"/>
    <x:col min="24" max="24" width="14" hidden="0" customWidth="1"/>
    <x:col min="25" max="25" width="14" hidden="0" customWidth="1"/>
    <x:col min="26" max="26" width="14" hidden="0" customWidth="1"/>
    <x:col min="27" max="27" width="12" hidden="0" customWidth="1"/>
    <x:col min="28" max="28" width="12" hidden="0" customWidth="1"/>
    <x:col min="29" max="29" width="12" hidden="0" customWidth="1"/>
    <x:col min="30" max="30" width="14" hidden="0" customWidth="1"/>
    <x:col min="31" max="31" width="14" hidden="0" customWidth="1"/>
    <x:col min="32" max="32" width="14" hidden="0" customWidth="1"/>
    <x:col min="33" max="33" width="12" hidden="0" customWidth="1"/>
    <x:col min="34" max="34" width="12" hidden="0" customWidth="1"/>
    <x:col min="35" max="35" width="18" hidden="0" customWidth="1"/>
    <x:col min="36" max="36" width="12" hidden="0" customWidth="1"/>
    <x:col min="37" max="37" width="16" hidden="0" customWidth="1"/>
    <x:col min="38" max="38" width="18" hidden="0" customWidth="1"/>
    <x:col min="39" max="39" width="38" hidden="0" customWidth="1"/>
  </x:cols>
  <x:sheetData>
    <x:row r="1">
      <x:c r="A1" s="6" t="str">
        <x:v>match_id</x:v>
      </x:c>
      <x:c r="B1" s="6" t="str">
        <x:v>stage</x:v>
      </x:c>
      <x:c r="C1" s="6" t="str">
        <x:v>taipei_time</x:v>
      </x:c>
      <x:c r="D1" s="6" t="str">
        <x:v>team_a_slot</x:v>
      </x:c>
      <x:c r="E1" s="6" t="str">
        <x:v>team_b_slot</x:v>
      </x:c>
      <x:c r="F1" s="6" t="str">
        <x:v>venue_city</x:v>
      </x:c>
      <x:c r="G1" s="6" t="str">
        <x:v>venue_country</x:v>
      </x:c>
      <x:c r="H1" s="6" t="str">
        <x:v>match_status</x:v>
      </x:c>
      <x:c r="I1" s="6" t="str">
        <x:v>team_a_input</x:v>
      </x:c>
      <x:c r="J1" s="6" t="str">
        <x:v>team_b_input</x:v>
      </x:c>
      <x:c r="K1" s="14" t="str">
        <x:v>xhs_pct_a_user_input</x:v>
      </x:c>
      <x:c r="L1" s="14" t="str">
        <x:v>xhs_pct_b_user_input</x:v>
      </x:c>
      <x:c r="M1" s="14" t="str">
        <x:v>payout_mult_a</x:v>
      </x:c>
      <x:c r="N1" s="14" t="str">
        <x:v>payout_mult_b</x:v>
      </x:c>
      <x:c r="O1" s="14" t="str">
        <x:v>rank_a</x:v>
      </x:c>
      <x:c r="P1" s="14" t="str">
        <x:v>rank_b</x:v>
      </x:c>
      <x:c r="Q1" s="14" t="str">
        <x:v>rank_adv_a_vs_b</x:v>
      </x:c>
      <x:c r="R1" s="14" t="str">
        <x:v>fifa_pts_a</x:v>
      </x:c>
      <x:c r="S1" s="14" t="str">
        <x:v>fifa_pts_b</x:v>
      </x:c>
      <x:c r="T1" s="14" t="str">
        <x:v>fifa_pts_diff</x:v>
      </x:c>
      <x:c r="U1" s="14" t="str">
        <x:v>elo_a</x:v>
      </x:c>
      <x:c r="V1" s="14" t="str">
        <x:v>elo_b</x:v>
      </x:c>
      <x:c r="W1" s="14" t="str">
        <x:v>elo_diff</x:v>
      </x:c>
      <x:c r="X1" s="14" t="str">
        <x:v>squad_value_a_eur_m</x:v>
      </x:c>
      <x:c r="Y1" s="14" t="str">
        <x:v>squad_value_b_eur_m</x:v>
      </x:c>
      <x:c r="Z1" s="14" t="str">
        <x:v>squad_value_diff</x:v>
      </x:c>
      <x:c r="AA1" s="14" t="str">
        <x:v>form_score_a</x:v>
      </x:c>
      <x:c r="AB1" s="14" t="str">
        <x:v>form_score_b</x:v>
      </x:c>
      <x:c r="AC1" s="14" t="str">
        <x:v>form_score_diff</x:v>
      </x:c>
      <x:c r="AD1" s="14" t="str">
        <x:v>host_diff_a_minus_b</x:v>
      </x:c>
      <x:c r="AE1" s="18" t="str">
        <x:v>p_model_a_adv_seed</x:v>
      </x:c>
      <x:c r="AF1" s="18" t="str">
        <x:v>p_model_b_adv_seed</x:v>
      </x:c>
      <x:c r="AG1" s="18" t="str">
        <x:v>xhs_ev_a</x:v>
      </x:c>
      <x:c r="AH1" s="18" t="str">
        <x:v>xhs_ev_b</x:v>
      </x:c>
      <x:c r="AI1" s="6" t="str">
        <x:v>recommended_side</x:v>
      </x:c>
      <x:c r="AJ1" s="6" t="str">
        <x:v>risk_profile</x:v>
      </x:c>
      <x:c r="AK1" s="14" t="str">
        <x:v>suggested_stake_gold</x:v>
      </x:c>
      <x:c r="AL1" s="14" t="str">
        <x:v>expected_gold_profit</x:v>
      </x:c>
      <x:c r="AM1" s="6" t="str">
        <x:v>source_note</x:v>
      </x:c>
    </x:row>
    <x:row r="2">
      <x:c r="A2" s="12" t="str">
        <x:v>R32-08</x:v>
      </x:c>
      <x:c r="B2" s="12" t="str">
        <x:v>1/16决赛</x:v>
      </x:c>
      <x:c r="C2" s="12" t="str">
        <x:v>2026-07-02 00:00</x:v>
      </x:c>
      <x:c r="D2" s="12" t="str">
        <x:v>England</x:v>
      </x:c>
      <x:c r="E2" s="12" t="str">
        <x:v>DR Congo</x:v>
      </x:c>
      <x:c r="F2" s="12" t="str">
        <x:v>Atlanta</x:v>
      </x:c>
      <x:c r="G2" s="12" t="str">
        <x:v>USA</x:v>
      </x:c>
      <x:c r="H2" s="12" t="str">
        <x:v>已确定</x:v>
      </x:c>
      <x:c r="I2" s="12" t="str">
        <x:v>England</x:v>
      </x:c>
      <x:c r="J2" s="12" t="str">
        <x:v>DR Congo</x:v>
      </x:c>
      <x:c r="K2" s="12"/>
      <x:c r="L2" s="12"/>
      <x:c r="M2" s="12" t="str">
        <x:f>IF(K2&gt;0,100/K2,"")</x:f>
      </x:c>
      <x:c r="N2" s="12" t="str">
        <x:f>IF(L2&gt;0,100/L2,"")</x:f>
      </x:c>
      <x:c r="O2" s="12" t="n">
        <x:f>IFERROR(VLOOKUP(I2,team_metrics!$A:$P,5,FALSE),"")</x:f>
        <x:v>4</x:v>
      </x:c>
      <x:c r="P2" s="12" t="n">
        <x:f>IFERROR(VLOOKUP(J2,team_metrics!$A:$P,5,FALSE),"")</x:f>
        <x:v>46</x:v>
      </x:c>
      <x:c r="Q2" s="12" t="n">
        <x:f>IF(AND(O2&lt;&gt;",",P2&lt;&gt;""),P2-O2,"")</x:f>
        <x:v>42</x:v>
      </x:c>
      <x:c r="R2" s="12" t="n">
        <x:f>IFERROR(VLOOKUP(I2,team_metrics!$A:$P,6,FALSE),"")</x:f>
        <x:v>1828.02</x:v>
      </x:c>
      <x:c r="S2" s="12" t="n">
        <x:f>IFERROR(VLOOKUP(J2,team_metrics!$A:$P,6,FALSE),"")</x:f>
        <x:v>1474.43</x:v>
      </x:c>
      <x:c r="T2" s="12" t="n">
        <x:f>IF(AND(R2&lt;&gt;",",S2&lt;&gt;""),R2-S2,"")</x:f>
        <x:v>353.5899999999999</x:v>
      </x:c>
      <x:c r="U2" s="12" t="n">
        <x:f>IFERROR(VLOOKUP(I2,team_metrics!$A:$P,8,FALSE),"")</x:f>
        <x:v>2038</x:v>
      </x:c>
      <x:c r="V2" s="12" t="str">
        <x:f>IFERROR(VLOOKUP(J2,team_metrics!$A:$P,8,FALSE),"")</x:f>
      </x:c>
      <x:c r="W2" s="12" t="str">
        <x:f>IF(AND(U2&lt;&gt;",",V2&lt;&gt;""),U2-V2,"")</x:f>
      </x:c>
      <x:c r="X2" s="12" t="n">
        <x:f>IFERROR(VLOOKUP(I2,team_metrics!$A:$P,9,FALSE),"")</x:f>
        <x:v>1360</x:v>
      </x:c>
      <x:c r="Y2" s="12" t="n">
        <x:f>IFERROR(VLOOKUP(J2,team_metrics!$A:$P,9,FALSE),"")</x:f>
        <x:v>143.9</x:v>
      </x:c>
      <x:c r="Z2" s="12" t="n">
        <x:f>IF(AND(X2&lt;&gt;",",Y2&lt;&gt;""),X2-Y2,"")</x:f>
        <x:v>1216.1</x:v>
      </x:c>
      <x:c r="AA2" s="12" t="n">
        <x:f>IFERROR(VLOOKUP(I2,team_metrics!$A:$P,12,FALSE),"")</x:f>
        <x:v>5.9981</x:v>
      </x:c>
      <x:c r="AB2" s="12" t="n">
        <x:f>IFERROR(VLOOKUP(J2,team_metrics!$A:$P,12,FALSE),"")</x:f>
        <x:v>2.5488</x:v>
      </x:c>
      <x:c r="AC2" s="12" t="n">
        <x:f>IF(AND(AA2&lt;&gt;",",AB2&lt;&gt;""),AA2-AB2,"")</x:f>
        <x:v>3.4493</x:v>
      </x:c>
      <x:c r="AD2" s="12" t="n">
        <x:f>IFERROR((VLOOKUP(I2,team_metrics!$A:$P,4,FALSE)="是")-(VLOOKUP(J2,team_metrics!$A:$P,4,FALSE)="是"),"")</x:f>
        <x:v>0</x:v>
      </x:c>
      <x:c r="AE2" s="12" t="n">
        <x:f>IF(OR(O2="",P2=""),"",1/(1+EXP(-(0.04*(P2-O2)+0.002*T2+0.0015*W2+0.0008*Z2+0.12*AC2+0.25*AD2))))</x:f>
        <x:v>0.977554765578187</x:v>
      </x:c>
      <x:c r="AF2" s="12" t="n">
        <x:f>IF(AE2="","",1-AE2)</x:f>
        <x:v>0.02244523442181301</x:v>
      </x:c>
      <x:c r="AG2" s="12" t="str">
        <x:f>IF(AND(AE2&lt;&gt;",",M2&lt;&gt;""),AE2*M2-1,"")</x:f>
      </x:c>
      <x:c r="AH2" s="12" t="str">
        <x:f>IF(AND(AF2&lt;&gt;",",N2&lt;&gt;""),AF2*N2-1,"")</x:f>
      </x:c>
      <x:c r="AI2" s="12" t="str">
        <x:f>IF(OR(AG2="",AH2=""),"",IF(AG2&gt;AH2,I2,IF(AH2&gt;AG2,J2,"No edge tie")))</x:f>
      </x:c>
      <x:c r="AJ2" s="12" t="str">
        <x:f>"均衡"</x:f>
        <x:v>均衡</x:v>
      </x:c>
      <x:c r="AK2" s="12" t="str">
        <x:f>IF(OR(AG2="",AH2=""),"",IF(MAX(AG2,AH2)&lt;=0,0,IF(AJ2="保守",IF(MAX(AG2,AH2)&lt;0.05,10,IF(MAX(AG2,AH2)&lt;0.12,20,IF(MAX(AG2,AH2)&lt;0.25,50,100))),IF(AJ2="进取",IF(MAX(AG2,AH2)&lt;0.02,20,IF(MAX(AG2,AH2)&lt;0.06,50,IF(MAX(AG2,AH2)&lt;0.15,100,500))),IF(MAX(AG2,AH2)&lt;0.03,10,IF(MAX(AG2,AH2)&lt;0.08,20,IF(MAX(AG2,AH2)&lt;0.18,50,IF(MAX(AG2,AH2)&lt;0.35,100,500))))))))</x:f>
      </x:c>
      <x:c r="AL2" s="12" t="str">
        <x:f>IF(AK2="","",AK2*MAX(AG2,AH2))</x:f>
      </x:c>
      <x:c r="AM2" s="12" t="str">
        <x:v>Sky Sports/CBS/SB Nation bracket + prior workbook; user-editable XHS inputs</x:v>
      </x:c>
    </x:row>
    <x:row r="3">
      <x:c r="A3" s="12" t="str">
        <x:v>R32-09</x:v>
      </x:c>
      <x:c r="B3" s="12" t="str">
        <x:v>1/16决赛</x:v>
      </x:c>
      <x:c r="C3" s="12" t="str">
        <x:v>2026-07-02 04:00</x:v>
      </x:c>
      <x:c r="D3" s="12" t="str">
        <x:v>Belgium</x:v>
      </x:c>
      <x:c r="E3" s="12" t="str">
        <x:v>Senegal</x:v>
      </x:c>
      <x:c r="F3" s="12" t="str">
        <x:v>Seattle</x:v>
      </x:c>
      <x:c r="G3" s="12" t="str">
        <x:v>USA</x:v>
      </x:c>
      <x:c r="H3" s="12" t="str">
        <x:v>已确定</x:v>
      </x:c>
      <x:c r="I3" s="12" t="str">
        <x:v>Belgium</x:v>
      </x:c>
      <x:c r="J3" s="12" t="str">
        <x:v>Senegal</x:v>
      </x:c>
      <x:c r="K3" s="12"/>
      <x:c r="L3" s="12"/>
      <x:c r="M3" s="12" t="str">
        <x:f>IF(K3&gt;0,100/K3,"")</x:f>
      </x:c>
      <x:c r="N3" s="12" t="str">
        <x:f>IF(L3&gt;0,100/L3,"")</x:f>
      </x:c>
      <x:c r="O3" s="12" t="n">
        <x:f>IFERROR(VLOOKUP(I3,team_metrics!$A:$P,5,FALSE),"")</x:f>
        <x:v>9</x:v>
      </x:c>
      <x:c r="P3" s="12" t="n">
        <x:f>IFERROR(VLOOKUP(J3,team_metrics!$A:$P,5,FALSE),"")</x:f>
        <x:v>15</x:v>
      </x:c>
      <x:c r="Q3" s="12" t="n">
        <x:f>IF(AND(O3&lt;&gt;",",P3&lt;&gt;""),P3-O3,"")</x:f>
        <x:v>6</x:v>
      </x:c>
      <x:c r="R3" s="12" t="n">
        <x:f>IFERROR(VLOOKUP(I3,team_metrics!$A:$P,6,FALSE),"")</x:f>
        <x:v>1742.24</x:v>
      </x:c>
      <x:c r="S3" s="12" t="n">
        <x:f>IFERROR(VLOOKUP(J3,team_metrics!$A:$P,6,FALSE),"")</x:f>
        <x:v>1684.07</x:v>
      </x:c>
      <x:c r="T3" s="12" t="n">
        <x:f>IF(AND(R3&lt;&gt;",",S3&lt;&gt;""),R3-S3,"")</x:f>
        <x:v>58.17000000000007</x:v>
      </x:c>
      <x:c r="U3" s="12" t="n">
        <x:f>IFERROR(VLOOKUP(I3,team_metrics!$A:$P,8,FALSE),"")</x:f>
        <x:v>1884</x:v>
      </x:c>
      <x:c r="V3" s="12" t="n">
        <x:f>IFERROR(VLOOKUP(J3,team_metrics!$A:$P,8,FALSE),"")</x:f>
        <x:v>1842</x:v>
      </x:c>
      <x:c r="W3" s="12" t="n">
        <x:f>IF(AND(U3&lt;&gt;",",V3&lt;&gt;""),U3-V3,"")</x:f>
        <x:v>42</x:v>
      </x:c>
      <x:c r="X3" s="12" t="n">
        <x:f>IFERROR(VLOOKUP(I3,team_metrics!$A:$P,9,FALSE),"")</x:f>
        <x:v>547.5</x:v>
      </x:c>
      <x:c r="Y3" s="12" t="n">
        <x:f>IFERROR(VLOOKUP(J3,team_metrics!$A:$P,9,FALSE),"")</x:f>
        <x:v>478.1</x:v>
      </x:c>
      <x:c r="Z3" s="12" t="n">
        <x:f>IF(AND(X3&lt;&gt;",",Y3&lt;&gt;""),X3-Y3,"")</x:f>
        <x:v>69.39999999999998</x:v>
      </x:c>
      <x:c r="AA3" s="12" t="n">
        <x:f>IFERROR(VLOOKUP(I3,team_metrics!$A:$P,12,FALSE),"")</x:f>
        <x:v>2.4574</x:v>
      </x:c>
      <x:c r="AB3" s="12" t="n">
        <x:f>IFERROR(VLOOKUP(J3,team_metrics!$A:$P,12,FALSE),"")</x:f>
        <x:v>0.8154</x:v>
      </x:c>
      <x:c r="AC3" s="12" t="n">
        <x:f>IF(AND(AA3&lt;&gt;",",AB3&lt;&gt;""),AA3-AB3,"")</x:f>
        <x:v>1.642</x:v>
      </x:c>
      <x:c r="AD3" s="12" t="n">
        <x:f>IFERROR((VLOOKUP(I3,team_metrics!$A:$P,4,FALSE)="是")-(VLOOKUP(J3,team_metrics!$A:$P,4,FALSE)="是"),"")</x:f>
        <x:v>0</x:v>
      </x:c>
      <x:c r="AE3" s="12" t="n">
        <x:f>IF(OR(O3="",P3=""),"",1/(1+EXP(-(0.04*(P3-O3)+0.002*T3+0.0015*W3+0.0008*Z3+0.12*AC3+0.25*AD3))))</x:f>
        <x:v>0.6619284703519039</x:v>
      </x:c>
      <x:c r="AF3" s="12" t="n">
        <x:f>IF(AE3="","",1-AE3)</x:f>
        <x:v>0.33807152964809606</x:v>
      </x:c>
      <x:c r="AG3" s="12" t="str">
        <x:f>IF(AND(AE3&lt;&gt;",",M3&lt;&gt;""),AE3*M3-1,"")</x:f>
      </x:c>
      <x:c r="AH3" s="12" t="str">
        <x:f>IF(AND(AF3&lt;&gt;",",N3&lt;&gt;""),AF3*N3-1,"")</x:f>
      </x:c>
      <x:c r="AI3" s="12" t="str">
        <x:f>IF(OR(AG3="",AH3=""),"",IF(AG3&gt;AH3,I3,IF(AH3&gt;AG3,J3,"No edge tie")))</x:f>
      </x:c>
      <x:c r="AJ3" s="12" t="str">
        <x:f>"均衡"</x:f>
        <x:v>均衡</x:v>
      </x:c>
      <x:c r="AK3" s="12" t="str">
        <x:f>IF(OR(AG3="",AH3=""),"",IF(MAX(AG3,AH3)&lt;=0,0,IF(AJ3="保守",IF(MAX(AG3,AH3)&lt;0.05,10,IF(MAX(AG3,AH3)&lt;0.12,20,IF(MAX(AG3,AH3)&lt;0.25,50,100))),IF(AJ3="进取",IF(MAX(AG3,AH3)&lt;0.02,20,IF(MAX(AG3,AH3)&lt;0.06,50,IF(MAX(AG3,AH3)&lt;0.15,100,500))),IF(MAX(AG3,AH3)&lt;0.03,10,IF(MAX(AG3,AH3)&lt;0.08,20,IF(MAX(AG3,AH3)&lt;0.18,50,IF(MAX(AG3,AH3)&lt;0.35,100,500))))))))</x:f>
      </x:c>
      <x:c r="AL3" s="12" t="str">
        <x:f>IF(AK3="","",AK3*MAX(AG3,AH3))</x:f>
      </x:c>
      <x:c r="AM3" s="12" t="str">
        <x:v>Sky Sports/CBS/SB Nation bracket + prior workbook; user-editable XHS inputs</x:v>
      </x:c>
    </x:row>
    <x:row r="4">
      <x:c r="A4" s="12" t="str">
        <x:v>R32-10</x:v>
      </x:c>
      <x:c r="B4" s="12" t="str">
        <x:v>1/16决赛</x:v>
      </x:c>
      <x:c r="C4" s="12" t="str">
        <x:v>2026-07-02 08:00</x:v>
      </x:c>
      <x:c r="D4" s="12" t="str">
        <x:v>United States</x:v>
      </x:c>
      <x:c r="E4" s="12" t="str">
        <x:v>Bosnia-Herzegovina</x:v>
      </x:c>
      <x:c r="F4" s="12" t="str">
        <x:v>Santa Clara</x:v>
      </x:c>
      <x:c r="G4" s="12" t="str">
        <x:v>USA</x:v>
      </x:c>
      <x:c r="H4" s="12" t="str">
        <x:v>已确定</x:v>
      </x:c>
      <x:c r="I4" s="12" t="str">
        <x:v>United States</x:v>
      </x:c>
      <x:c r="J4" s="12" t="str">
        <x:v>Bosnia-Herzegovina</x:v>
      </x:c>
      <x:c r="K4" s="12"/>
      <x:c r="L4" s="12"/>
      <x:c r="M4" s="12" t="str">
        <x:f>IF(K4&gt;0,100/K4,"")</x:f>
      </x:c>
      <x:c r="N4" s="12" t="str">
        <x:f>IF(L4&gt;0,100/L4,"")</x:f>
      </x:c>
      <x:c r="O4" s="12" t="n">
        <x:f>IFERROR(VLOOKUP(I4,team_metrics!$A:$P,5,FALSE),"")</x:f>
        <x:v>17</x:v>
      </x:c>
      <x:c r="P4" s="12" t="n">
        <x:f>IFERROR(VLOOKUP(J4,team_metrics!$A:$P,5,FALSE),"")</x:f>
        <x:v>64</x:v>
      </x:c>
      <x:c r="Q4" s="12" t="n">
        <x:f>IF(AND(O4&lt;&gt;",",P4&lt;&gt;""),P4-O4,"")</x:f>
        <x:v>47</x:v>
      </x:c>
      <x:c r="R4" s="12" t="n">
        <x:f>IFERROR(VLOOKUP(I4,team_metrics!$A:$P,6,FALSE),"")</x:f>
        <x:v>1671.23</x:v>
      </x:c>
      <x:c r="S4" s="12" t="n">
        <x:f>IFERROR(VLOOKUP(J4,team_metrics!$A:$P,6,FALSE),"")</x:f>
        <x:v>1387</x:v>
      </x:c>
      <x:c r="T4" s="12" t="n">
        <x:f>IF(AND(R4&lt;&gt;",",S4&lt;&gt;""),R4-S4,"")</x:f>
        <x:v>284.23</x:v>
      </x:c>
      <x:c r="U4" s="12" t="n">
        <x:f>IFERROR(VLOOKUP(I4,team_metrics!$A:$P,8,FALSE),"")</x:f>
        <x:v>1781</x:v>
      </x:c>
      <x:c r="V4" s="12" t="str">
        <x:f>IFERROR(VLOOKUP(J4,team_metrics!$A:$P,8,FALSE),"")</x:f>
      </x:c>
      <x:c r="W4" s="12" t="str">
        <x:f>IF(AND(U4&lt;&gt;",",V4&lt;&gt;""),U4-V4,"")</x:f>
      </x:c>
      <x:c r="X4" s="12" t="n">
        <x:f>IFERROR(VLOOKUP(I4,team_metrics!$A:$P,9,FALSE),"")</x:f>
        <x:v>385.65</x:v>
      </x:c>
      <x:c r="Y4" s="12" t="n">
        <x:f>IFERROR(VLOOKUP(J4,team_metrics!$A:$P,9,FALSE),"")</x:f>
        <x:v>146.4</x:v>
      </x:c>
      <x:c r="Z4" s="12" t="n">
        <x:f>IF(AND(X4&lt;&gt;",",Y4&lt;&gt;""),X4-Y4,"")</x:f>
        <x:v>239.24999999999997</x:v>
      </x:c>
      <x:c r="AA4" s="12" t="n">
        <x:f>IFERROR(VLOOKUP(I4,team_metrics!$A:$P,12,FALSE),"")</x:f>
        <x:v>4.2542</x:v>
      </x:c>
      <x:c r="AB4" s="12" t="n">
        <x:f>IFERROR(VLOOKUP(J4,team_metrics!$A:$P,12,FALSE),"")</x:f>
        <x:v>1.6773</x:v>
      </x:c>
      <x:c r="AC4" s="12" t="n">
        <x:f>IF(AND(AA4&lt;&gt;",",AB4&lt;&gt;""),AA4-AB4,"")</x:f>
        <x:v>2.5769</x:v>
      </x:c>
      <x:c r="AD4" s="12" t="n">
        <x:f>IFERROR((VLOOKUP(I4,team_metrics!$A:$P,4,FALSE)="是")-(VLOOKUP(J4,team_metrics!$A:$P,4,FALSE)="是"),"")</x:f>
        <x:v>1</x:v>
      </x:c>
      <x:c r="AE4" s="12" t="n">
        <x:f>IF(OR(O4="",P4=""),"",1/(1+EXP(-(0.04*(P4-O4)+0.002*T4+0.0015*W4+0.0008*Z4+0.12*AC4+0.25*AD4))))</x:f>
        <x:v>0.9607999426021532</x:v>
      </x:c>
      <x:c r="AF4" s="12" t="n">
        <x:f>IF(AE4="","",1-AE4)</x:f>
        <x:v>0.03920005739784682</x:v>
      </x:c>
      <x:c r="AG4" s="12" t="str">
        <x:f>IF(AND(AE4&lt;&gt;",",M4&lt;&gt;""),AE4*M4-1,"")</x:f>
      </x:c>
      <x:c r="AH4" s="12" t="str">
        <x:f>IF(AND(AF4&lt;&gt;",",N4&lt;&gt;""),AF4*N4-1,"")</x:f>
      </x:c>
      <x:c r="AI4" s="12" t="str">
        <x:f>IF(OR(AG4="",AH4=""),"",IF(AG4&gt;AH4,I4,IF(AH4&gt;AG4,J4,"No edge tie")))</x:f>
      </x:c>
      <x:c r="AJ4" s="12" t="str">
        <x:f>"均衡"</x:f>
        <x:v>均衡</x:v>
      </x:c>
      <x:c r="AK4" s="12" t="str">
        <x:f>IF(OR(AG4="",AH4=""),"",IF(MAX(AG4,AH4)&lt;=0,0,IF(AJ4="保守",IF(MAX(AG4,AH4)&lt;0.05,10,IF(MAX(AG4,AH4)&lt;0.12,20,IF(MAX(AG4,AH4)&lt;0.25,50,100))),IF(AJ4="进取",IF(MAX(AG4,AH4)&lt;0.02,20,IF(MAX(AG4,AH4)&lt;0.06,50,IF(MAX(AG4,AH4)&lt;0.15,100,500))),IF(MAX(AG4,AH4)&lt;0.03,10,IF(MAX(AG4,AH4)&lt;0.08,20,IF(MAX(AG4,AH4)&lt;0.18,50,IF(MAX(AG4,AH4)&lt;0.35,100,500))))))))</x:f>
      </x:c>
      <x:c r="AL4" s="12" t="str">
        <x:f>IF(AK4="","",AK4*MAX(AG4,AH4))</x:f>
      </x:c>
      <x:c r="AM4" s="12" t="str">
        <x:v>Sky Sports/CBS/SB Nation bracket + prior workbook; user-editable XHS inputs</x:v>
      </x:c>
    </x:row>
    <x:row r="5">
      <x:c r="A5" s="12" t="str">
        <x:v>R32-11</x:v>
      </x:c>
      <x:c r="B5" s="12" t="str">
        <x:v>1/16决赛</x:v>
      </x:c>
      <x:c r="C5" s="12" t="str">
        <x:v>2026-07-03 03:00</x:v>
      </x:c>
      <x:c r="D5" s="12" t="str">
        <x:v>Spain</x:v>
      </x:c>
      <x:c r="E5" s="12" t="str">
        <x:v>Austria</x:v>
      </x:c>
      <x:c r="F5" s="12" t="str">
        <x:v>Los Angeles</x:v>
      </x:c>
      <x:c r="G5" s="12" t="str">
        <x:v>USA</x:v>
      </x:c>
      <x:c r="H5" s="12" t="str">
        <x:v>已确定</x:v>
      </x:c>
      <x:c r="I5" s="12" t="str">
        <x:v>Spain</x:v>
      </x:c>
      <x:c r="J5" s="12" t="str">
        <x:v>Austria</x:v>
      </x:c>
      <x:c r="K5" s="12"/>
      <x:c r="L5" s="12"/>
      <x:c r="M5" s="12" t="str">
        <x:f>IF(K5&gt;0,100/K5,"")</x:f>
      </x:c>
      <x:c r="N5" s="12" t="str">
        <x:f>IF(L5&gt;0,100/L5,"")</x:f>
      </x:c>
      <x:c r="O5" s="12" t="n">
        <x:f>IFERROR(VLOOKUP(I5,team_metrics!$A:$P,5,FALSE),"")</x:f>
        <x:v>2</x:v>
      </x:c>
      <x:c r="P5" s="12" t="n">
        <x:f>IFERROR(VLOOKUP(J5,team_metrics!$A:$P,5,FALSE),"")</x:f>
        <x:v>24</x:v>
      </x:c>
      <x:c r="Q5" s="12" t="n">
        <x:f>IF(AND(O5&lt;&gt;",",P5&lt;&gt;""),P5-O5,"")</x:f>
        <x:v>22</x:v>
      </x:c>
      <x:c r="R5" s="12" t="n">
        <x:f>IFERROR(VLOOKUP(I5,team_metrics!$A:$P,6,FALSE),"")</x:f>
        <x:v>1874.71</x:v>
      </x:c>
      <x:c r="S5" s="12" t="n">
        <x:f>IFERROR(VLOOKUP(J5,team_metrics!$A:$P,6,FALSE),"")</x:f>
        <x:v>1597.4</x:v>
      </x:c>
      <x:c r="T5" s="12" t="n">
        <x:f>IF(AND(R5&lt;&gt;",",S5&lt;&gt;""),R5-S5,"")</x:f>
        <x:v>277.30999999999995</x:v>
      </x:c>
      <x:c r="U5" s="12" t="n">
        <x:f>IFERROR(VLOOKUP(I5,team_metrics!$A:$P,8,FALSE),"")</x:f>
        <x:v>2144</x:v>
      </x:c>
      <x:c r="V5" s="12" t="str">
        <x:f>IFERROR(VLOOKUP(J5,team_metrics!$A:$P,8,FALSE),"")</x:f>
      </x:c>
      <x:c r="W5" s="12" t="str">
        <x:f>IF(AND(U5&lt;&gt;",",V5&lt;&gt;""),U5-V5,"")</x:f>
      </x:c>
      <x:c r="X5" s="12" t="n">
        <x:f>IFERROR(VLOOKUP(I5,team_metrics!$A:$P,9,FALSE),"")</x:f>
        <x:v>1220</x:v>
      </x:c>
      <x:c r="Y5" s="12" t="n">
        <x:f>IFERROR(VLOOKUP(J5,team_metrics!$A:$P,9,FALSE),"")</x:f>
        <x:v>245.2</x:v>
      </x:c>
      <x:c r="Z5" s="12" t="n">
        <x:f>IF(AND(X5&lt;&gt;",",Y5&lt;&gt;""),X5-Y5,"")</x:f>
        <x:v>974.8</x:v>
      </x:c>
      <x:c r="AA5" s="12" t="n">
        <x:f>IFERROR(VLOOKUP(I5,team_metrics!$A:$P,12,FALSE),"")</x:f>
        <x:v>5.1466</x:v>
      </x:c>
      <x:c r="AB5" s="12" t="n">
        <x:f>IFERROR(VLOOKUP(J5,team_metrics!$A:$P,12,FALSE),"")</x:f>
        <x:v>1.1912</x:v>
      </x:c>
      <x:c r="AC5" s="12" t="n">
        <x:f>IF(AND(AA5&lt;&gt;",",AB5&lt;&gt;""),AA5-AB5,"")</x:f>
        <x:v>3.9554</x:v>
      </x:c>
      <x:c r="AD5" s="12" t="n">
        <x:f>IFERROR((VLOOKUP(I5,team_metrics!$A:$P,4,FALSE)="是")-(VLOOKUP(J5,team_metrics!$A:$P,4,FALSE)="是"),"")</x:f>
        <x:v>0</x:v>
      </x:c>
      <x:c r="AE5" s="12" t="n">
        <x:f>IF(OR(O5="",P5=""),"",1/(1+EXP(-(0.04*(P5-O5)+0.002*T5+0.0015*W5+0.0008*Z5+0.12*AC5+0.25*AD5))))</x:f>
        <x:v>0.9363808643512976</x:v>
      </x:c>
      <x:c r="AF5" s="12" t="n">
        <x:f>IF(AE5="","",1-AE5)</x:f>
        <x:v>0.06361913564870236</x:v>
      </x:c>
      <x:c r="AG5" s="12" t="str">
        <x:f>IF(AND(AE5&lt;&gt;",",M5&lt;&gt;""),AE5*M5-1,"")</x:f>
      </x:c>
      <x:c r="AH5" s="12" t="str">
        <x:f>IF(AND(AF5&lt;&gt;",",N5&lt;&gt;""),AF5*N5-1,"")</x:f>
      </x:c>
      <x:c r="AI5" s="12" t="str">
        <x:f>IF(OR(AG5="",AH5=""),"",IF(AG5&gt;AH5,I5,IF(AH5&gt;AG5,J5,"No edge tie")))</x:f>
      </x:c>
      <x:c r="AJ5" s="12" t="str">
        <x:f>"均衡"</x:f>
        <x:v>均衡</x:v>
      </x:c>
      <x:c r="AK5" s="12" t="str">
        <x:f>IF(OR(AG5="",AH5=""),"",IF(MAX(AG5,AH5)&lt;=0,0,IF(AJ5="保守",IF(MAX(AG5,AH5)&lt;0.05,10,IF(MAX(AG5,AH5)&lt;0.12,20,IF(MAX(AG5,AH5)&lt;0.25,50,100))),IF(AJ5="进取",IF(MAX(AG5,AH5)&lt;0.02,20,IF(MAX(AG5,AH5)&lt;0.06,50,IF(MAX(AG5,AH5)&lt;0.15,100,500))),IF(MAX(AG5,AH5)&lt;0.03,10,IF(MAX(AG5,AH5)&lt;0.08,20,IF(MAX(AG5,AH5)&lt;0.18,50,IF(MAX(AG5,AH5)&lt;0.35,100,500))))))))</x:f>
      </x:c>
      <x:c r="AL5" s="12" t="str">
        <x:f>IF(AK5="","",AK5*MAX(AG5,AH5))</x:f>
      </x:c>
      <x:c r="AM5" s="12" t="str">
        <x:v>Sky Sports/CBS/SB Nation bracket + prior workbook; user-editable XHS inputs</x:v>
      </x:c>
    </x:row>
    <x:row r="6">
      <x:c r="A6" s="12" t="str">
        <x:v>R32-12</x:v>
      </x:c>
      <x:c r="B6" s="12" t="str">
        <x:v>1/16决赛</x:v>
      </x:c>
      <x:c r="C6" s="12" t="str">
        <x:v>2026-07-03 07:00</x:v>
      </x:c>
      <x:c r="D6" s="12" t="str">
        <x:v>Portugal</x:v>
      </x:c>
      <x:c r="E6" s="12" t="str">
        <x:v>Croatia</x:v>
      </x:c>
      <x:c r="F6" s="12" t="str">
        <x:v>Toronto</x:v>
      </x:c>
      <x:c r="G6" s="12" t="str">
        <x:v>Canada</x:v>
      </x:c>
      <x:c r="H6" s="12" t="str">
        <x:v>已确定</x:v>
      </x:c>
      <x:c r="I6" s="12" t="str">
        <x:v>Portugal</x:v>
      </x:c>
      <x:c r="J6" s="12" t="str">
        <x:v>Croatia</x:v>
      </x:c>
      <x:c r="K6" s="12"/>
      <x:c r="L6" s="12"/>
      <x:c r="M6" s="12" t="str">
        <x:f>IF(K6&gt;0,100/K6,"")</x:f>
      </x:c>
      <x:c r="N6" s="12" t="str">
        <x:f>IF(L6&gt;0,100/L6,"")</x:f>
      </x:c>
      <x:c r="O6" s="12" t="n">
        <x:f>IFERROR(VLOOKUP(I6,team_metrics!$A:$P,5,FALSE),"")</x:f>
        <x:v>5</x:v>
      </x:c>
      <x:c r="P6" s="12" t="n">
        <x:f>IFERROR(VLOOKUP(J6,team_metrics!$A:$P,5,FALSE),"")</x:f>
        <x:v>11</x:v>
      </x:c>
      <x:c r="Q6" s="12" t="n">
        <x:f>IF(AND(O6&lt;&gt;",",P6&lt;&gt;""),P6-O6,"")</x:f>
        <x:v>6</x:v>
      </x:c>
      <x:c r="R6" s="12" t="n">
        <x:f>IFERROR(VLOOKUP(I6,team_metrics!$A:$P,6,FALSE),"")</x:f>
        <x:v>1767.85</x:v>
      </x:c>
      <x:c r="S6" s="12" t="n">
        <x:f>IFERROR(VLOOKUP(J6,team_metrics!$A:$P,6,FALSE),"")</x:f>
        <x:v>1714.87</x:v>
      </x:c>
      <x:c r="T6" s="12" t="n">
        <x:f>IF(AND(R6&lt;&gt;",",S6&lt;&gt;""),R6-S6,"")</x:f>
        <x:v>52.98000000000002</x:v>
      </x:c>
      <x:c r="U6" s="12" t="n">
        <x:f>IFERROR(VLOOKUP(I6,team_metrics!$A:$P,8,FALSE),"")</x:f>
        <x:v>1990</x:v>
      </x:c>
      <x:c r="V6" s="12" t="n">
        <x:f>IFERROR(VLOOKUP(J6,team_metrics!$A:$P,8,FALSE),"")</x:f>
        <x:v>1905</x:v>
      </x:c>
      <x:c r="W6" s="12" t="n">
        <x:f>IF(AND(U6&lt;&gt;",",V6&lt;&gt;""),U6-V6,"")</x:f>
        <x:v>85</x:v>
      </x:c>
      <x:c r="X6" s="12" t="n">
        <x:f>IFERROR(VLOOKUP(I6,team_metrics!$A:$P,9,FALSE),"")</x:f>
        <x:v>1010</x:v>
      </x:c>
      <x:c r="Y6" s="12" t="n">
        <x:f>IFERROR(VLOOKUP(J6,team_metrics!$A:$P,9,FALSE),"")</x:f>
        <x:v>387.3</x:v>
      </x:c>
      <x:c r="Z6" s="12" t="n">
        <x:f>IF(AND(X6&lt;&gt;",",Y6&lt;&gt;""),X6-Y6,"")</x:f>
        <x:v>622.7</x:v>
      </x:c>
      <x:c r="AA6" s="12" t="n">
        <x:f>IFERROR(VLOOKUP(I6,team_metrics!$A:$P,12,FALSE),"")</x:f>
        <x:v>3.0868</x:v>
      </x:c>
      <x:c r="AB6" s="12" t="n">
        <x:f>IFERROR(VLOOKUP(J6,team_metrics!$A:$P,12,FALSE),"")</x:f>
        <x:v>2.5637</x:v>
      </x:c>
      <x:c r="AC6" s="12" t="n">
        <x:f>IF(AND(AA6&lt;&gt;",",AB6&lt;&gt;""),AA6-AB6,"")</x:f>
        <x:v>0.5231000000000003</x:v>
      </x:c>
      <x:c r="AD6" s="12" t="n">
        <x:f>IFERROR((VLOOKUP(I6,team_metrics!$A:$P,4,FALSE)="是")-(VLOOKUP(J6,team_metrics!$A:$P,4,FALSE)="是"),"")</x:f>
        <x:v>0</x:v>
      </x:c>
      <x:c r="AE6" s="12" t="n">
        <x:f>IF(OR(O6="",P6=""),"",1/(1+EXP(-(0.04*(P6-O6)+0.002*T6+0.0015*W6+0.0008*Z6+0.12*AC6+0.25*AD6))))</x:f>
        <x:v>0.7377664902028896</x:v>
      </x:c>
      <x:c r="AF6" s="12" t="n">
        <x:f>IF(AE6="","",1-AE6)</x:f>
        <x:v>0.26223350979711035</x:v>
      </x:c>
      <x:c r="AG6" s="12" t="str">
        <x:f>IF(AND(AE6&lt;&gt;",",M6&lt;&gt;""),AE6*M6-1,"")</x:f>
      </x:c>
      <x:c r="AH6" s="12" t="str">
        <x:f>IF(AND(AF6&lt;&gt;",",N6&lt;&gt;""),AF6*N6-1,"")</x:f>
      </x:c>
      <x:c r="AI6" s="12" t="str">
        <x:f>IF(OR(AG6="",AH6=""),"",IF(AG6&gt;AH6,I6,IF(AH6&gt;AG6,J6,"No edge tie")))</x:f>
      </x:c>
      <x:c r="AJ6" s="12" t="str">
        <x:f>"均衡"</x:f>
        <x:v>均衡</x:v>
      </x:c>
      <x:c r="AK6" s="12" t="str">
        <x:f>IF(OR(AG6="",AH6=""),"",IF(MAX(AG6,AH6)&lt;=0,0,IF(AJ6="保守",IF(MAX(AG6,AH6)&lt;0.05,10,IF(MAX(AG6,AH6)&lt;0.12,20,IF(MAX(AG6,AH6)&lt;0.25,50,100))),IF(AJ6="进取",IF(MAX(AG6,AH6)&lt;0.02,20,IF(MAX(AG6,AH6)&lt;0.06,50,IF(MAX(AG6,AH6)&lt;0.15,100,500))),IF(MAX(AG6,AH6)&lt;0.03,10,IF(MAX(AG6,AH6)&lt;0.08,20,IF(MAX(AG6,AH6)&lt;0.18,50,IF(MAX(AG6,AH6)&lt;0.35,100,500))))))))</x:f>
      </x:c>
      <x:c r="AL6" s="12" t="str">
        <x:f>IF(AK6="","",AK6*MAX(AG6,AH6))</x:f>
      </x:c>
      <x:c r="AM6" s="12" t="str">
        <x:v>Sky Sports/CBS/SB Nation bracket + prior workbook; user-editable XHS inputs</x:v>
      </x:c>
    </x:row>
    <x:row r="7">
      <x:c r="A7" s="12" t="str">
        <x:v>R32-13</x:v>
      </x:c>
      <x:c r="B7" s="12" t="str">
        <x:v>1/16决赛</x:v>
      </x:c>
      <x:c r="C7" s="12" t="str">
        <x:v>2026-07-03 11:00</x:v>
      </x:c>
      <x:c r="D7" s="12" t="str">
        <x:v>Switzerland</x:v>
      </x:c>
      <x:c r="E7" s="12" t="str">
        <x:v>Algeria</x:v>
      </x:c>
      <x:c r="F7" s="12" t="str">
        <x:v>Vancouver</x:v>
      </x:c>
      <x:c r="G7" s="12" t="str">
        <x:v>Canada</x:v>
      </x:c>
      <x:c r="H7" s="12" t="str">
        <x:v>已确定</x:v>
      </x:c>
      <x:c r="I7" s="12" t="str">
        <x:v>Switzerland</x:v>
      </x:c>
      <x:c r="J7" s="12" t="str">
        <x:v>Algeria</x:v>
      </x:c>
      <x:c r="K7" s="12"/>
      <x:c r="L7" s="12"/>
      <x:c r="M7" s="12" t="str">
        <x:f>IF(K7&gt;0,100/K7,"")</x:f>
      </x:c>
      <x:c r="N7" s="12" t="str">
        <x:f>IF(L7&gt;0,100/L7,"")</x:f>
      </x:c>
      <x:c r="O7" s="12" t="n">
        <x:f>IFERROR(VLOOKUP(I7,team_metrics!$A:$P,5,FALSE),"")</x:f>
        <x:v>19</x:v>
      </x:c>
      <x:c r="P7" s="12" t="n">
        <x:f>IFERROR(VLOOKUP(J7,team_metrics!$A:$P,5,FALSE),"")</x:f>
        <x:v>28</x:v>
      </x:c>
      <x:c r="Q7" s="12" t="n">
        <x:f>IF(AND(O7&lt;&gt;",",P7&lt;&gt;""),P7-O7,"")</x:f>
        <x:v>9</x:v>
      </x:c>
      <x:c r="R7" s="12" t="n">
        <x:f>IFERROR(VLOOKUP(I7,team_metrics!$A:$P,6,FALSE),"")</x:f>
        <x:v>1650.06</x:v>
      </x:c>
      <x:c r="S7" s="12" t="n">
        <x:f>IFERROR(VLOOKUP(J7,team_metrics!$A:$P,6,FALSE),"")</x:f>
        <x:v>1571.03</x:v>
      </x:c>
      <x:c r="T7" s="12" t="n">
        <x:f>IF(AND(R7&lt;&gt;",",S7&lt;&gt;""),R7-S7,"")</x:f>
        <x:v>79.02999999999997</x:v>
      </x:c>
      <x:c r="U7" s="12" t="n">
        <x:f>IFERROR(VLOOKUP(I7,team_metrics!$A:$P,8,FALSE),"")</x:f>
        <x:v>1914</x:v>
      </x:c>
      <x:c r="V7" s="12" t="str">
        <x:f>IFERROR(VLOOKUP(J7,team_metrics!$A:$P,8,FALSE),"")</x:f>
      </x:c>
      <x:c r="W7" s="12" t="str">
        <x:f>IF(AND(U7&lt;&gt;",",V7&lt;&gt;""),U7-V7,"")</x:f>
      </x:c>
      <x:c r="X7" s="12" t="n">
        <x:f>IFERROR(VLOOKUP(I7,team_metrics!$A:$P,9,FALSE),"")</x:f>
        <x:v>332.5</x:v>
      </x:c>
      <x:c r="Y7" s="12" t="n">
        <x:f>IFERROR(VLOOKUP(J7,team_metrics!$A:$P,9,FALSE),"")</x:f>
        <x:v>256.9</x:v>
      </x:c>
      <x:c r="Z7" s="12" t="n">
        <x:f>IF(AND(X7&lt;&gt;",",Y7&lt;&gt;""),X7-Y7,"")</x:f>
        <x:v>75.60000000000002</x:v>
      </x:c>
      <x:c r="AA7" s="12" t="n">
        <x:f>IFERROR(VLOOKUP(I7,team_metrics!$A:$P,12,FALSE),"")</x:f>
        <x:v>4.095</x:v>
      </x:c>
      <x:c r="AB7" s="12" t="n">
        <x:f>IFERROR(VLOOKUP(J7,team_metrics!$A:$P,12,FALSE),"")</x:f>
        <x:v>0.7244</x:v>
      </x:c>
      <x:c r="AC7" s="12" t="n">
        <x:f>IF(AND(AA7&lt;&gt;",",AB7&lt;&gt;""),AA7-AB7,"")</x:f>
        <x:v>3.3705999999999996</x:v>
      </x:c>
      <x:c r="AD7" s="12" t="n">
        <x:f>IFERROR((VLOOKUP(I7,team_metrics!$A:$P,4,FALSE)="是")-(VLOOKUP(J7,team_metrics!$A:$P,4,FALSE)="是"),"")</x:f>
        <x:v>0</x:v>
      </x:c>
      <x:c r="AE7" s="12" t="n">
        <x:f>IF(OR(O7="",P7=""),"",1/(1+EXP(-(0.04*(P7-O7)+0.002*T7+0.0015*W7+0.0008*Z7+0.12*AC7+0.25*AD7))))</x:f>
        <x:v>0.7277054539857392</x:v>
      </x:c>
      <x:c r="AF7" s="12" t="n">
        <x:f>IF(AE7="","",1-AE7)</x:f>
        <x:v>0.27229454601426084</x:v>
      </x:c>
      <x:c r="AG7" s="12" t="str">
        <x:f>IF(AND(AE7&lt;&gt;",",M7&lt;&gt;""),AE7*M7-1,"")</x:f>
      </x:c>
      <x:c r="AH7" s="12" t="str">
        <x:f>IF(AND(AF7&lt;&gt;",",N7&lt;&gt;""),AF7*N7-1,"")</x:f>
      </x:c>
      <x:c r="AI7" s="12" t="str">
        <x:f>IF(OR(AG7="",AH7=""),"",IF(AG7&gt;AH7,I7,IF(AH7&gt;AG7,J7,"No edge tie")))</x:f>
      </x:c>
      <x:c r="AJ7" s="12" t="str">
        <x:f>"均衡"</x:f>
        <x:v>均衡</x:v>
      </x:c>
      <x:c r="AK7" s="12" t="str">
        <x:f>IF(OR(AG7="",AH7=""),"",IF(MAX(AG7,AH7)&lt;=0,0,IF(AJ7="保守",IF(MAX(AG7,AH7)&lt;0.05,10,IF(MAX(AG7,AH7)&lt;0.12,20,IF(MAX(AG7,AH7)&lt;0.25,50,100))),IF(AJ7="进取",IF(MAX(AG7,AH7)&lt;0.02,20,IF(MAX(AG7,AH7)&lt;0.06,50,IF(MAX(AG7,AH7)&lt;0.15,100,500))),IF(MAX(AG7,AH7)&lt;0.03,10,IF(MAX(AG7,AH7)&lt;0.08,20,IF(MAX(AG7,AH7)&lt;0.18,50,IF(MAX(AG7,AH7)&lt;0.35,100,500))))))))</x:f>
      </x:c>
      <x:c r="AL7" s="12" t="str">
        <x:f>IF(AK7="","",AK7*MAX(AG7,AH7))</x:f>
      </x:c>
      <x:c r="AM7" s="12" t="str">
        <x:v>Sky Sports/CBS/SB Nation bracket + prior workbook; user-editable XHS inputs</x:v>
      </x:c>
    </x:row>
    <x:row r="8">
      <x:c r="A8" s="12" t="str">
        <x:v>R32-14</x:v>
      </x:c>
      <x:c r="B8" s="12" t="str">
        <x:v>1/16决赛</x:v>
      </x:c>
      <x:c r="C8" s="12" t="str">
        <x:v>2026-07-04 02:00</x:v>
      </x:c>
      <x:c r="D8" s="12" t="str">
        <x:v>Australia</x:v>
      </x:c>
      <x:c r="E8" s="12" t="str">
        <x:v>Egypt</x:v>
      </x:c>
      <x:c r="F8" s="12" t="str">
        <x:v>Arlington</x:v>
      </x:c>
      <x:c r="G8" s="12" t="str">
        <x:v>USA</x:v>
      </x:c>
      <x:c r="H8" s="12" t="str">
        <x:v>已确定</x:v>
      </x:c>
      <x:c r="I8" s="12" t="str">
        <x:v>Australia</x:v>
      </x:c>
      <x:c r="J8" s="12" t="str">
        <x:v>Egypt</x:v>
      </x:c>
      <x:c r="K8" s="12"/>
      <x:c r="L8" s="12"/>
      <x:c r="M8" s="12" t="str">
        <x:f>IF(K8&gt;0,100/K8,"")</x:f>
      </x:c>
      <x:c r="N8" s="12" t="str">
        <x:f>IF(L8&gt;0,100/L8,"")</x:f>
      </x:c>
      <x:c r="O8" s="12" t="n">
        <x:f>IFERROR(VLOOKUP(I8,team_metrics!$A:$P,5,FALSE),"")</x:f>
        <x:v>27</x:v>
      </x:c>
      <x:c r="P8" s="12" t="n">
        <x:f>IFERROR(VLOOKUP(J8,team_metrics!$A:$P,5,FALSE),"")</x:f>
        <x:v>29</x:v>
      </x:c>
      <x:c r="Q8" s="12" t="n">
        <x:f>IF(AND(O8&lt;&gt;",",P8&lt;&gt;""),P8-O8,"")</x:f>
        <x:v>2</x:v>
      </x:c>
      <x:c r="R8" s="12" t="n">
        <x:f>IFERROR(VLOOKUP(I8,team_metrics!$A:$P,6,FALSE),"")</x:f>
        <x:v>1579.34</x:v>
      </x:c>
      <x:c r="S8" s="12" t="n">
        <x:f>IFERROR(VLOOKUP(J8,team_metrics!$A:$P,6,FALSE),"")</x:f>
        <x:v>1562.37</x:v>
      </x:c>
      <x:c r="T8" s="12" t="n">
        <x:f>IF(AND(R8&lt;&gt;",",S8&lt;&gt;""),R8-S8,"")</x:f>
        <x:v>16.970000000000027</x:v>
      </x:c>
      <x:c r="U8" s="12" t="str">
        <x:f>IFERROR(VLOOKUP(I8,team_metrics!$A:$P,8,FALSE),"")</x:f>
      </x:c>
      <x:c r="V8" s="12" t="str">
        <x:f>IFERROR(VLOOKUP(J8,team_metrics!$A:$P,8,FALSE),"")</x:f>
      </x:c>
      <x:c r="W8" s="12" t="str">
        <x:f>IF(AND(U8&lt;&gt;",",V8&lt;&gt;""),U8-V8,"")</x:f>
      </x:c>
      <x:c r="X8" s="12" t="n">
        <x:f>IFERROR(VLOOKUP(I8,team_metrics!$A:$P,9,FALSE),"")</x:f>
        <x:v>77.45</x:v>
      </x:c>
      <x:c r="Y8" s="12" t="n">
        <x:f>IFERROR(VLOOKUP(J8,team_metrics!$A:$P,9,FALSE),"")</x:f>
        <x:v>116.48</x:v>
      </x:c>
      <x:c r="Z8" s="12" t="n">
        <x:f>IF(AND(X8&lt;&gt;",",Y8&lt;&gt;""),X8-Y8,"")</x:f>
        <x:v>-39.03</x:v>
      </x:c>
      <x:c r="AA8" s="12" t="n">
        <x:f>IFERROR(VLOOKUP(I8,team_metrics!$A:$P,12,FALSE),"")</x:f>
        <x:v>2.5559</x:v>
      </x:c>
      <x:c r="AB8" s="12" t="n">
        <x:f>IFERROR(VLOOKUP(J8,team_metrics!$A:$P,12,FALSE),"")</x:f>
        <x:v>2.7735</x:v>
      </x:c>
      <x:c r="AC8" s="12" t="n">
        <x:f>IF(AND(AA8&lt;&gt;",",AB8&lt;&gt;""),AA8-AB8,"")</x:f>
        <x:v>-0.21760000000000002</x:v>
      </x:c>
      <x:c r="AD8" s="12" t="n">
        <x:f>IFERROR((VLOOKUP(I8,team_metrics!$A:$P,4,FALSE)="是")-(VLOOKUP(J8,team_metrics!$A:$P,4,FALSE)="是"),"")</x:f>
        <x:v>0</x:v>
      </x:c>
      <x:c r="AE8" s="12" t="n">
        <x:f>IF(OR(O8="",P8=""),"",1/(1+EXP(-(0.04*(P8-O8)+0.002*T8+0.0015*W8+0.0008*Z8+0.12*AC8+0.25*AD8))))</x:f>
        <x:v>0.5141472228780768</x:v>
      </x:c>
      <x:c r="AF8" s="12" t="n">
        <x:f>IF(AE8="","",1-AE8)</x:f>
        <x:v>0.4858527771219232</x:v>
      </x:c>
      <x:c r="AG8" s="12" t="str">
        <x:f>IF(AND(AE8&lt;&gt;",",M8&lt;&gt;""),AE8*M8-1,"")</x:f>
      </x:c>
      <x:c r="AH8" s="12" t="str">
        <x:f>IF(AND(AF8&lt;&gt;",",N8&lt;&gt;""),AF8*N8-1,"")</x:f>
      </x:c>
      <x:c r="AI8" s="12" t="str">
        <x:f>IF(OR(AG8="",AH8=""),"",IF(AG8&gt;AH8,I8,IF(AH8&gt;AG8,J8,"No edge tie")))</x:f>
      </x:c>
      <x:c r="AJ8" s="12" t="str">
        <x:f>"均衡"</x:f>
        <x:v>均衡</x:v>
      </x:c>
      <x:c r="AK8" s="12" t="str">
        <x:f>IF(OR(AG8="",AH8=""),"",IF(MAX(AG8,AH8)&lt;=0,0,IF(AJ8="保守",IF(MAX(AG8,AH8)&lt;0.05,10,IF(MAX(AG8,AH8)&lt;0.12,20,IF(MAX(AG8,AH8)&lt;0.25,50,100))),IF(AJ8="进取",IF(MAX(AG8,AH8)&lt;0.02,20,IF(MAX(AG8,AH8)&lt;0.06,50,IF(MAX(AG8,AH8)&lt;0.15,100,500))),IF(MAX(AG8,AH8)&lt;0.03,10,IF(MAX(AG8,AH8)&lt;0.08,20,IF(MAX(AG8,AH8)&lt;0.18,50,IF(MAX(AG8,AH8)&lt;0.35,100,500))))))))</x:f>
      </x:c>
      <x:c r="AL8" s="12" t="str">
        <x:f>IF(AK8="","",AK8*MAX(AG8,AH8))</x:f>
      </x:c>
      <x:c r="AM8" s="12" t="str">
        <x:v>Sky Sports/CBS/SB Nation bracket + prior workbook; user-editable XHS inputs</x:v>
      </x:c>
    </x:row>
    <x:row r="9">
      <x:c r="A9" s="12" t="str">
        <x:v>R32-15</x:v>
      </x:c>
      <x:c r="B9" s="12" t="str">
        <x:v>1/16决赛</x:v>
      </x:c>
      <x:c r="C9" s="12" t="str">
        <x:v>2026-07-04 06:00</x:v>
      </x:c>
      <x:c r="D9" s="12" t="str">
        <x:v>Argentina</x:v>
      </x:c>
      <x:c r="E9" s="12" t="str">
        <x:v>Cape Verde</x:v>
      </x:c>
      <x:c r="F9" s="12" t="str">
        <x:v>Miami</x:v>
      </x:c>
      <x:c r="G9" s="12" t="str">
        <x:v>USA</x:v>
      </x:c>
      <x:c r="H9" s="12" t="str">
        <x:v>已确定</x:v>
      </x:c>
      <x:c r="I9" s="12" t="str">
        <x:v>Argentina</x:v>
      </x:c>
      <x:c r="J9" s="12" t="str">
        <x:v>Cape Verde</x:v>
      </x:c>
      <x:c r="K9" s="12"/>
      <x:c r="L9" s="12"/>
      <x:c r="M9" s="12" t="str">
        <x:f>IF(K9&gt;0,100/K9,"")</x:f>
      </x:c>
      <x:c r="N9" s="12" t="str">
        <x:f>IF(L9&gt;0,100/L9,"")</x:f>
      </x:c>
      <x:c r="O9" s="12" t="n">
        <x:f>IFERROR(VLOOKUP(I9,team_metrics!$A:$P,5,FALSE),"")</x:f>
        <x:v>1</x:v>
      </x:c>
      <x:c r="P9" s="12" t="n">
        <x:f>IFERROR(VLOOKUP(J9,team_metrics!$A:$P,5,FALSE),"")</x:f>
        <x:v>67</x:v>
      </x:c>
      <x:c r="Q9" s="12" t="n">
        <x:f>IF(AND(O9&lt;&gt;",",P9&lt;&gt;""),P9-O9,"")</x:f>
        <x:v>66</x:v>
      </x:c>
      <x:c r="R9" s="12" t="n">
        <x:f>IFERROR(VLOOKUP(I9,team_metrics!$A:$P,6,FALSE),"")</x:f>
        <x:v>1877.27</x:v>
      </x:c>
      <x:c r="S9" s="12" t="n">
        <x:f>IFERROR(VLOOKUP(J9,team_metrics!$A:$P,6,FALSE),"")</x:f>
        <x:v>1371</x:v>
      </x:c>
      <x:c r="T9" s="12" t="n">
        <x:f>IF(AND(R9&lt;&gt;",",S9&lt;&gt;""),R9-S9,"")</x:f>
        <x:v>506.27</x:v>
      </x:c>
      <x:c r="U9" s="12" t="n">
        <x:f>IFERROR(VLOOKUP(I9,team_metrics!$A:$P,8,FALSE),"")</x:f>
        <x:v>2148</x:v>
      </x:c>
      <x:c r="V9" s="12" t="str">
        <x:f>IFERROR(VLOOKUP(J9,team_metrics!$A:$P,8,FALSE),"")</x:f>
      </x:c>
      <x:c r="W9" s="12" t="str">
        <x:f>IF(AND(U9&lt;&gt;",",V9&lt;&gt;""),U9-V9,"")</x:f>
      </x:c>
      <x:c r="X9" s="12" t="n">
        <x:f>IFERROR(VLOOKUP(I9,team_metrics!$A:$P,9,FALSE),"")</x:f>
        <x:v>807.5</x:v>
      </x:c>
      <x:c r="Y9" s="12" t="n">
        <x:f>IFERROR(VLOOKUP(J9,team_metrics!$A:$P,9,FALSE),"")</x:f>
        <x:v>54.5</x:v>
      </x:c>
      <x:c r="Z9" s="12" t="n">
        <x:f>IF(AND(X9&lt;&gt;",",Y9&lt;&gt;""),X9-Y9,"")</x:f>
        <x:v>753</x:v>
      </x:c>
      <x:c r="AA9" s="12" t="n">
        <x:f>IFERROR(VLOOKUP(I9,team_metrics!$A:$P,12,FALSE),"")</x:f>
        <x:v>6.4756</x:v>
      </x:c>
      <x:c r="AB9" s="12" t="n">
        <x:f>IFERROR(VLOOKUP(J9,team_metrics!$A:$P,12,FALSE),"")</x:f>
        <x:v>2.9308</x:v>
      </x:c>
      <x:c r="AC9" s="12" t="n">
        <x:f>IF(AND(AA9&lt;&gt;",",AB9&lt;&gt;""),AA9-AB9,"")</x:f>
        <x:v>3.5448</x:v>
      </x:c>
      <x:c r="AD9" s="12" t="n">
        <x:f>IFERROR((VLOOKUP(I9,team_metrics!$A:$P,4,FALSE)="是")-(VLOOKUP(J9,team_metrics!$A:$P,4,FALSE)="是"),"")</x:f>
        <x:v>0</x:v>
      </x:c>
      <x:c r="AE9" s="12" t="n">
        <x:f>IF(OR(O9="",P9=""),"",1/(1+EXP(-(0.04*(P9-O9)+0.002*T9+0.0015*W9+0.0008*Z9+0.12*AC9+0.25*AD9))))</x:f>
        <x:v>0.9908091726875597</x:v>
      </x:c>
      <x:c r="AF9" s="12" t="n">
        <x:f>IF(AE9="","",1-AE9)</x:f>
        <x:v>0.009190827312440253</x:v>
      </x:c>
      <x:c r="AG9" s="12" t="str">
        <x:f>IF(AND(AE9&lt;&gt;",",M9&lt;&gt;""),AE9*M9-1,"")</x:f>
      </x:c>
      <x:c r="AH9" s="12" t="str">
        <x:f>IF(AND(AF9&lt;&gt;",",N9&lt;&gt;""),AF9*N9-1,"")</x:f>
      </x:c>
      <x:c r="AI9" s="12" t="str">
        <x:f>IF(OR(AG9="",AH9=""),"",IF(AG9&gt;AH9,I9,IF(AH9&gt;AG9,J9,"No edge tie")))</x:f>
      </x:c>
      <x:c r="AJ9" s="12" t="str">
        <x:f>"均衡"</x:f>
        <x:v>均衡</x:v>
      </x:c>
      <x:c r="AK9" s="12" t="str">
        <x:f>IF(OR(AG9="",AH9=""),"",IF(MAX(AG9,AH9)&lt;=0,0,IF(AJ9="保守",IF(MAX(AG9,AH9)&lt;0.05,10,IF(MAX(AG9,AH9)&lt;0.12,20,IF(MAX(AG9,AH9)&lt;0.25,50,100))),IF(AJ9="进取",IF(MAX(AG9,AH9)&lt;0.02,20,IF(MAX(AG9,AH9)&lt;0.06,50,IF(MAX(AG9,AH9)&lt;0.15,100,500))),IF(MAX(AG9,AH9)&lt;0.03,10,IF(MAX(AG9,AH9)&lt;0.08,20,IF(MAX(AG9,AH9)&lt;0.18,50,IF(MAX(AG9,AH9)&lt;0.35,100,500))))))))</x:f>
      </x:c>
      <x:c r="AL9" s="12" t="str">
        <x:f>IF(AK9="","",AK9*MAX(AG9,AH9))</x:f>
      </x:c>
      <x:c r="AM9" s="12" t="str">
        <x:v>Sky Sports/CBS/SB Nation bracket + prior workbook; user-editable XHS inputs</x:v>
      </x:c>
    </x:row>
    <x:row r="10">
      <x:c r="A10" s="12" t="str">
        <x:v>R32-16</x:v>
      </x:c>
      <x:c r="B10" s="12" t="str">
        <x:v>1/16决赛</x:v>
      </x:c>
      <x:c r="C10" s="12" t="str">
        <x:v>2026-07-04 09:30</x:v>
      </x:c>
      <x:c r="D10" s="12" t="str">
        <x:v>Colombia</x:v>
      </x:c>
      <x:c r="E10" s="12" t="str">
        <x:v>Ghana</x:v>
      </x:c>
      <x:c r="F10" s="12" t="str">
        <x:v>Kansas City</x:v>
      </x:c>
      <x:c r="G10" s="12" t="str">
        <x:v>USA</x:v>
      </x:c>
      <x:c r="H10" s="12" t="str">
        <x:v>已确定</x:v>
      </x:c>
      <x:c r="I10" s="12" t="str">
        <x:v>Colombia</x:v>
      </x:c>
      <x:c r="J10" s="12" t="str">
        <x:v>Ghana</x:v>
      </x:c>
      <x:c r="K10" s="12"/>
      <x:c r="L10" s="12"/>
      <x:c r="M10" s="12" t="str">
        <x:f>IF(K10&gt;0,100/K10,"")</x:f>
      </x:c>
      <x:c r="N10" s="12" t="str">
        <x:f>IF(L10&gt;0,100/L10,"")</x:f>
      </x:c>
      <x:c r="O10" s="12" t="n">
        <x:f>IFERROR(VLOOKUP(I10,team_metrics!$A:$P,5,FALSE),"")</x:f>
        <x:v>13</x:v>
      </x:c>
      <x:c r="P10" s="12" t="n">
        <x:f>IFERROR(VLOOKUP(J10,team_metrics!$A:$P,5,FALSE),"")</x:f>
        <x:v>73</x:v>
      </x:c>
      <x:c r="Q10" s="12" t="n">
        <x:f>IF(AND(O10&lt;&gt;",",P10&lt;&gt;""),P10-O10,"")</x:f>
        <x:v>60</x:v>
      </x:c>
      <x:c r="R10" s="12" t="n">
        <x:f>IFERROR(VLOOKUP(I10,team_metrics!$A:$P,6,FALSE),"")</x:f>
        <x:v>1698.35</x:v>
      </x:c>
      <x:c r="S10" s="12" t="n">
        <x:f>IFERROR(VLOOKUP(J10,team_metrics!$A:$P,6,FALSE),"")</x:f>
        <x:v>1346</x:v>
      </x:c>
      <x:c r="T10" s="12" t="n">
        <x:f>IF(AND(R10&lt;&gt;",",S10&lt;&gt;""),R10-S10,"")</x:f>
        <x:v>352.3499999999999</x:v>
      </x:c>
      <x:c r="U10" s="12" t="n">
        <x:f>IFERROR(VLOOKUP(I10,team_metrics!$A:$P,8,FALSE),"")</x:f>
        <x:v>2004</x:v>
      </x:c>
      <x:c r="V10" s="12" t="str">
        <x:f>IFERROR(VLOOKUP(J10,team_metrics!$A:$P,8,FALSE),"")</x:f>
      </x:c>
      <x:c r="W10" s="12" t="str">
        <x:f>IF(AND(U10&lt;&gt;",",V10&lt;&gt;""),U10-V10,"")</x:f>
      </x:c>
      <x:c r="X10" s="12" t="n">
        <x:f>IFERROR(VLOOKUP(I10,team_metrics!$A:$P,9,FALSE),"")</x:f>
        <x:v>302.35</x:v>
      </x:c>
      <x:c r="Y10" s="12" t="n">
        <x:f>IFERROR(VLOOKUP(J10,team_metrics!$A:$P,9,FALSE),"")</x:f>
        <x:v>234.35</x:v>
      </x:c>
      <x:c r="Z10" s="12" t="n">
        <x:f>IF(AND(X10&lt;&gt;",",Y10&lt;&gt;""),X10-Y10,"")</x:f>
        <x:v>68.00000000000003</x:v>
      </x:c>
      <x:c r="AA10" s="12" t="n">
        <x:f>IFERROR(VLOOKUP(I10,team_metrics!$A:$P,12,FALSE),"")</x:f>
        <x:v>4.4344</x:v>
      </x:c>
      <x:c r="AB10" s="12" t="n">
        <x:f>IFERROR(VLOOKUP(J10,team_metrics!$A:$P,12,FALSE),"")</x:f>
        <x:v>3.1057</x:v>
      </x:c>
      <x:c r="AC10" s="12" t="n">
        <x:f>IF(AND(AA10&lt;&gt;",",AB10&lt;&gt;""),AA10-AB10,"")</x:f>
        <x:v>1.3287</x:v>
      </x:c>
      <x:c r="AD10" s="12" t="n">
        <x:f>IFERROR((VLOOKUP(I10,team_metrics!$A:$P,4,FALSE)="是")-(VLOOKUP(J10,team_metrics!$A:$P,4,FALSE)="是"),"")</x:f>
        <x:v>0</x:v>
      </x:c>
      <x:c r="AE10" s="12" t="n">
        <x:f>IF(OR(O10="",P10=""),"",1/(1+EXP(-(0.04*(P10-O10)+0.002*T10+0.0015*W10+0.0008*Z10+0.12*AC10+0.25*AD10))))</x:f>
        <x:v>0.9650595289105639</x:v>
      </x:c>
      <x:c r="AF10" s="12" t="n">
        <x:f>IF(AE10="","",1-AE10)</x:f>
        <x:v>0.0349404710894361</x:v>
      </x:c>
      <x:c r="AG10" s="12" t="str">
        <x:f>IF(AND(AE10&lt;&gt;",",M10&lt;&gt;""),AE10*M10-1,"")</x:f>
      </x:c>
      <x:c r="AH10" s="12" t="str">
        <x:f>IF(AND(AF10&lt;&gt;",",N10&lt;&gt;""),AF10*N10-1,"")</x:f>
      </x:c>
      <x:c r="AI10" s="12" t="str">
        <x:f>IF(OR(AG10="",AH10=""),"",IF(AG10&gt;AH10,I10,IF(AH10&gt;AG10,J10,"No edge tie")))</x:f>
      </x:c>
      <x:c r="AJ10" s="12" t="str">
        <x:f>"均衡"</x:f>
        <x:v>均衡</x:v>
      </x:c>
      <x:c r="AK10" s="12" t="str">
        <x:f>IF(OR(AG10="",AH10=""),"",IF(MAX(AG10,AH10)&lt;=0,0,IF(AJ10="保守",IF(MAX(AG10,AH10)&lt;0.05,10,IF(MAX(AG10,AH10)&lt;0.12,20,IF(MAX(AG10,AH10)&lt;0.25,50,100))),IF(AJ10="进取",IF(MAX(AG10,AH10)&lt;0.02,20,IF(MAX(AG10,AH10)&lt;0.06,50,IF(MAX(AG10,AH10)&lt;0.15,100,500))),IF(MAX(AG10,AH10)&lt;0.03,10,IF(MAX(AG10,AH10)&lt;0.08,20,IF(MAX(AG10,AH10)&lt;0.18,50,IF(MAX(AG10,AH10)&lt;0.35,100,500))))))))</x:f>
      </x:c>
      <x:c r="AL10" s="12" t="str">
        <x:f>IF(AK10="","",AK10*MAX(AG10,AH10))</x:f>
      </x:c>
      <x:c r="AM10" s="12" t="str">
        <x:v>Sky Sports/CBS/SB Nation bracket + prior workbook; user-editable XHS inputs</x:v>
      </x:c>
    </x:row>
    <x:row r="11">
      <x:c r="A11" s="12" t="str">
        <x:v>R16-01</x:v>
      </x:c>
      <x:c r="B11" s="12" t="str">
        <x:v>16强</x:v>
      </x:c>
      <x:c r="C11" s="12" t="str">
        <x:v>2026-07-05 01:00</x:v>
      </x:c>
      <x:c r="D11" s="12" t="str">
        <x:v>Canada</x:v>
      </x:c>
      <x:c r="E11" s="12" t="str">
        <x:v>Morocco</x:v>
      </x:c>
      <x:c r="F11" s="12" t="str">
        <x:v>Houston</x:v>
      </x:c>
      <x:c r="G11" s="12" t="str">
        <x:v>USA</x:v>
      </x:c>
      <x:c r="H11" s="12" t="str">
        <x:v>已确定</x:v>
      </x:c>
      <x:c r="I11" s="12" t="str">
        <x:v>Canada</x:v>
      </x:c>
      <x:c r="J11" s="12" t="str">
        <x:v>Morocco</x:v>
      </x:c>
      <x:c r="K11" s="12"/>
      <x:c r="L11" s="12"/>
      <x:c r="M11" s="12" t="str">
        <x:f>IF(K11&gt;0,100/K11,"")</x:f>
      </x:c>
      <x:c r="N11" s="12" t="str">
        <x:f>IF(L11&gt;0,100/L11,"")</x:f>
      </x:c>
      <x:c r="O11" s="12" t="n">
        <x:f>IFERROR(VLOOKUP(I11,team_metrics!$A:$P,5,FALSE),"")</x:f>
        <x:v>30</x:v>
      </x:c>
      <x:c r="P11" s="12" t="n">
        <x:f>IFERROR(VLOOKUP(J11,team_metrics!$A:$P,5,FALSE),"")</x:f>
        <x:v>7</x:v>
      </x:c>
      <x:c r="Q11" s="12" t="n">
        <x:f>IF(AND(O11&lt;&gt;",",P11&lt;&gt;""),P11-O11,"")</x:f>
        <x:v>-23</x:v>
      </x:c>
      <x:c r="R11" s="12" t="n">
        <x:f>IFERROR(VLOOKUP(I11,team_metrics!$A:$P,6,FALSE),"")</x:f>
        <x:v>1559.48</x:v>
      </x:c>
      <x:c r="S11" s="12" t="n">
        <x:f>IFERROR(VLOOKUP(J11,team_metrics!$A:$P,6,FALSE),"")</x:f>
        <x:v>1755.1</x:v>
      </x:c>
      <x:c r="T11" s="12" t="n">
        <x:f>IF(AND(R11&lt;&gt;",",S11&lt;&gt;""),R11-S11,"")</x:f>
        <x:v>-195.6199999999999</x:v>
      </x:c>
      <x:c r="U11" s="12" t="str">
        <x:f>IFERROR(VLOOKUP(I11,team_metrics!$A:$P,8,FALSE),"")</x:f>
      </x:c>
      <x:c r="V11" s="12" t="n">
        <x:f>IFERROR(VLOOKUP(J11,team_metrics!$A:$P,8,FALSE),"")</x:f>
        <x:v>1886</x:v>
      </x:c>
      <x:c r="W11" s="12" t="n">
        <x:f>IF(AND(U11&lt;&gt;",",V11&lt;&gt;""),U11-V11,"")</x:f>
        <x:v>-1886</x:v>
      </x:c>
      <x:c r="X11" s="12" t="n">
        <x:f>IFERROR(VLOOKUP(I11,team_metrics!$A:$P,9,FALSE),"")</x:f>
        <x:v>198.65</x:v>
      </x:c>
      <x:c r="Y11" s="12" t="n">
        <x:f>IFERROR(VLOOKUP(J11,team_metrics!$A:$P,9,FALSE),"")</x:f>
        <x:v>447.7</x:v>
      </x:c>
      <x:c r="Z11" s="12" t="n">
        <x:f>IF(AND(X11&lt;&gt;",",Y11&lt;&gt;""),X11-Y11,"")</x:f>
        <x:v>-249.04999999999998</x:v>
      </x:c>
      <x:c r="AA11" s="12" t="n">
        <x:f>IFERROR(VLOOKUP(I11,team_metrics!$A:$P,12,FALSE),"")</x:f>
        <x:v>2.6149</x:v>
      </x:c>
      <x:c r="AB11" s="12" t="n">
        <x:f>IFERROR(VLOOKUP(J11,team_metrics!$A:$P,12,FALSE),"")</x:f>
        <x:v>5.4066</x:v>
      </x:c>
      <x:c r="AC11" s="12" t="n">
        <x:f>IF(AND(AA11&lt;&gt;",",AB11&lt;&gt;""),AA11-AB11,"")</x:f>
        <x:v>-2.7917</x:v>
      </x:c>
      <x:c r="AD11" s="12" t="n">
        <x:f>IFERROR((VLOOKUP(I11,team_metrics!$A:$P,4,FALSE)="是")-(VLOOKUP(J11,team_metrics!$A:$P,4,FALSE)="是"),"")</x:f>
        <x:v>1</x:v>
      </x:c>
      <x:c r="AE11" s="12" t="n">
        <x:f>IF(OR(O11="",P11=""),"",1/(1+EXP(-(0.04*(P11-O11)+0.002*T11+0.0015*W11+0.0008*Z11+0.12*AC11+0.25*AD11))))</x:f>
        <x:v>0.01183856099169048</x:v>
      </x:c>
      <x:c r="AF11" s="12" t="n">
        <x:f>IF(AE11="","",1-AE11)</x:f>
        <x:v>0.9881614390083096</x:v>
      </x:c>
      <x:c r="AG11" s="12" t="str">
        <x:f>IF(AND(AE11&lt;&gt;",",M11&lt;&gt;""),AE11*M11-1,"")</x:f>
      </x:c>
      <x:c r="AH11" s="12" t="str">
        <x:f>IF(AND(AF11&lt;&gt;",",N11&lt;&gt;""),AF11*N11-1,"")</x:f>
      </x:c>
      <x:c r="AI11" s="12" t="str">
        <x:f>IF(OR(AG11="",AH11=""),"",IF(AG11&gt;AH11,I11,IF(AH11&gt;AG11,J11,"No edge tie")))</x:f>
      </x:c>
      <x:c r="AJ11" s="12" t="str">
        <x:f>"均衡"</x:f>
        <x:v>均衡</x:v>
      </x:c>
      <x:c r="AK11" s="12" t="str">
        <x:f>IF(OR(AG11="",AH11=""),"",IF(MAX(AG11,AH11)&lt;=0,0,IF(AJ11="保守",IF(MAX(AG11,AH11)&lt;0.05,10,IF(MAX(AG11,AH11)&lt;0.12,20,IF(MAX(AG11,AH11)&lt;0.25,50,100))),IF(AJ11="进取",IF(MAX(AG11,AH11)&lt;0.02,20,IF(MAX(AG11,AH11)&lt;0.06,50,IF(MAX(AG11,AH11)&lt;0.15,100,500))),IF(MAX(AG11,AH11)&lt;0.03,10,IF(MAX(AG11,AH11)&lt;0.08,20,IF(MAX(AG11,AH11)&lt;0.18,50,IF(MAX(AG11,AH11)&lt;0.35,100,500))))))))</x:f>
      </x:c>
      <x:c r="AL11" s="12" t="str">
        <x:f>IF(AK11="","",AK11*MAX(AG11,AH11))</x:f>
      </x:c>
      <x:c r="AM11" s="12" t="str">
        <x:v>Sky Sports/CBS/SB Nation bracket + prior workbook; user-editable XHS inputs</x:v>
      </x:c>
    </x:row>
    <x:row r="12">
      <x:c r="A12" s="12" t="str">
        <x:v>R16-02</x:v>
      </x:c>
      <x:c r="B12" s="12" t="str">
        <x:v>16强</x:v>
      </x:c>
      <x:c r="C12" s="12" t="str">
        <x:v>2026-07-05 05:00</x:v>
      </x:c>
      <x:c r="D12" s="12" t="str">
        <x:v>Paraguay</x:v>
      </x:c>
      <x:c r="E12" s="12" t="str">
        <x:v>France</x:v>
      </x:c>
      <x:c r="F12" s="12" t="str">
        <x:v>Philadelphia</x:v>
      </x:c>
      <x:c r="G12" s="12" t="str">
        <x:v>USA</x:v>
      </x:c>
      <x:c r="H12" s="12" t="str">
        <x:v>已确定</x:v>
      </x:c>
      <x:c r="I12" s="12" t="str">
        <x:v>Paraguay</x:v>
      </x:c>
      <x:c r="J12" s="12" t="str">
        <x:v>France</x:v>
      </x:c>
      <x:c r="K12" s="12"/>
      <x:c r="L12" s="12"/>
      <x:c r="M12" s="12" t="str">
        <x:f>IF(K12&gt;0,100/K12,"")</x:f>
      </x:c>
      <x:c r="N12" s="12" t="str">
        <x:f>IF(L12&gt;0,100/L12,"")</x:f>
      </x:c>
      <x:c r="O12" s="12" t="n">
        <x:f>IFERROR(VLOOKUP(I12,team_metrics!$A:$P,5,FALSE),"")</x:f>
        <x:v>41</x:v>
      </x:c>
      <x:c r="P12" s="12" t="n">
        <x:f>IFERROR(VLOOKUP(J12,team_metrics!$A:$P,5,FALSE),"")</x:f>
        <x:v>3</x:v>
      </x:c>
      <x:c r="Q12" s="12" t="n">
        <x:f>IF(AND(O12&lt;&gt;",",P12&lt;&gt;""),P12-O12,"")</x:f>
        <x:v>-38</x:v>
      </x:c>
      <x:c r="R12" s="12" t="n">
        <x:f>IFERROR(VLOOKUP(I12,team_metrics!$A:$P,6,FALSE),"")</x:f>
        <x:v>1505.35</x:v>
      </x:c>
      <x:c r="S12" s="12" t="n">
        <x:f>IFERROR(VLOOKUP(J12,team_metrics!$A:$P,6,FALSE),"")</x:f>
        <x:v>1870.7</x:v>
      </x:c>
      <x:c r="T12" s="12" t="n">
        <x:f>IF(AND(R12&lt;&gt;",",S12&lt;&gt;""),R12-S12,"")</x:f>
        <x:v>-365.35000000000014</x:v>
      </x:c>
      <x:c r="U12" s="12" t="str">
        <x:f>IFERROR(VLOOKUP(I12,team_metrics!$A:$P,8,FALSE),"")</x:f>
      </x:c>
      <x:c r="V12" s="12" t="n">
        <x:f>IFERROR(VLOOKUP(J12,team_metrics!$A:$P,8,FALSE),"")</x:f>
        <x:v>2134</x:v>
      </x:c>
      <x:c r="W12" s="12" t="n">
        <x:f>IF(AND(U12&lt;&gt;",",V12&lt;&gt;""),U12-V12,"")</x:f>
        <x:v>-2134</x:v>
      </x:c>
      <x:c r="X12" s="12" t="n">
        <x:f>IFERROR(VLOOKUP(I12,team_metrics!$A:$P,9,FALSE),"")</x:f>
        <x:v>153.65</x:v>
      </x:c>
      <x:c r="Y12" s="12" t="n">
        <x:f>IFERROR(VLOOKUP(J12,team_metrics!$A:$P,9,FALSE),"")</x:f>
        <x:v>1520</x:v>
      </x:c>
      <x:c r="Z12" s="12" t="n">
        <x:f>IF(AND(X12&lt;&gt;",",Y12&lt;&gt;""),X12-Y12,"")</x:f>
        <x:v>-1366.35</x:v>
      </x:c>
      <x:c r="AA12" s="12" t="n">
        <x:f>IFERROR(VLOOKUP(I12,team_metrics!$A:$P,12,FALSE),"")</x:f>
        <x:v>4.3966</x:v>
      </x:c>
      <x:c r="AB12" s="12" t="n">
        <x:f>IFERROR(VLOOKUP(J12,team_metrics!$A:$P,12,FALSE),"")</x:f>
        <x:v>7.8443</x:v>
      </x:c>
      <x:c r="AC12" s="12" t="n">
        <x:f>IF(AND(AA12&lt;&gt;",",AB12&lt;&gt;""),AA12-AB12,"")</x:f>
        <x:v>-3.4476999999999993</x:v>
      </x:c>
      <x:c r="AD12" s="12" t="n">
        <x:f>IFERROR((VLOOKUP(I12,team_metrics!$A:$P,4,FALSE)="是")-(VLOOKUP(J12,team_metrics!$A:$P,4,FALSE)="是"),"")</x:f>
        <x:v>0</x:v>
      </x:c>
      <x:c r="AE12" s="12" t="n">
        <x:f>IF(OR(O12="",P12=""),"",1/(1+EXP(-(0.04*(P12-O12)+0.002*T12+0.0015*W12+0.0008*Z12+0.12*AC12+0.25*AD12))))</x:f>
        <x:v>0.0009496148600637803</x:v>
      </x:c>
      <x:c r="AF12" s="12" t="n">
        <x:f>IF(AE12="","",1-AE12)</x:f>
        <x:v>0.9990503851399363</x:v>
      </x:c>
      <x:c r="AG12" s="12" t="str">
        <x:f>IF(AND(AE12&lt;&gt;",",M12&lt;&gt;""),AE12*M12-1,"")</x:f>
      </x:c>
      <x:c r="AH12" s="12" t="str">
        <x:f>IF(AND(AF12&lt;&gt;",",N12&lt;&gt;""),AF12*N12-1,"")</x:f>
      </x:c>
      <x:c r="AI12" s="12" t="str">
        <x:f>IF(OR(AG12="",AH12=""),"",IF(AG12&gt;AH12,I12,IF(AH12&gt;AG12,J12,"No edge tie")))</x:f>
      </x:c>
      <x:c r="AJ12" s="12" t="str">
        <x:f>"均衡"</x:f>
        <x:v>均衡</x:v>
      </x:c>
      <x:c r="AK12" s="12" t="str">
        <x:f>IF(OR(AG12="",AH12=""),"",IF(MAX(AG12,AH12)&lt;=0,0,IF(AJ12="保守",IF(MAX(AG12,AH12)&lt;0.05,10,IF(MAX(AG12,AH12)&lt;0.12,20,IF(MAX(AG12,AH12)&lt;0.25,50,100))),IF(AJ12="进取",IF(MAX(AG12,AH12)&lt;0.02,20,IF(MAX(AG12,AH12)&lt;0.06,50,IF(MAX(AG12,AH12)&lt;0.15,100,500))),IF(MAX(AG12,AH12)&lt;0.03,10,IF(MAX(AG12,AH12)&lt;0.08,20,IF(MAX(AG12,AH12)&lt;0.18,50,IF(MAX(AG12,AH12)&lt;0.35,100,500))))))))</x:f>
      </x:c>
      <x:c r="AL12" s="12" t="str">
        <x:f>IF(AK12="","",AK12*MAX(AG12,AH12))</x:f>
      </x:c>
      <x:c r="AM12" s="12" t="str">
        <x:v>Sky Sports/CBS/SB Nation bracket + prior workbook; user-editable XHS inputs</x:v>
      </x:c>
    </x:row>
    <x:row r="13">
      <x:c r="A13" s="12" t="str">
        <x:v>R16-03</x:v>
      </x:c>
      <x:c r="B13" s="12" t="str">
        <x:v>16强</x:v>
      </x:c>
      <x:c r="C13" s="12" t="str">
        <x:v>2026-07-06 04:00</x:v>
      </x:c>
      <x:c r="D13" s="12" t="str">
        <x:v>Brazil</x:v>
      </x:c>
      <x:c r="E13" s="12" t="str">
        <x:v>Norway</x:v>
      </x:c>
      <x:c r="F13" s="12" t="str">
        <x:v>New Jersey</x:v>
      </x:c>
      <x:c r="G13" s="12" t="str">
        <x:v>USA</x:v>
      </x:c>
      <x:c r="H13" s="12" t="str">
        <x:v>已确定</x:v>
      </x:c>
      <x:c r="I13" s="12" t="str">
        <x:v>Brazil</x:v>
      </x:c>
      <x:c r="J13" s="12" t="str">
        <x:v>Norway</x:v>
      </x:c>
      <x:c r="K13" s="12"/>
      <x:c r="L13" s="12"/>
      <x:c r="M13" s="12" t="str">
        <x:f>IF(K13&gt;0,100/K13,"")</x:f>
      </x:c>
      <x:c r="N13" s="12" t="str">
        <x:f>IF(L13&gt;0,100/L13,"")</x:f>
      </x:c>
      <x:c r="O13" s="12" t="n">
        <x:f>IFERROR(VLOOKUP(I13,team_metrics!$A:$P,5,FALSE),"")</x:f>
        <x:v>6</x:v>
      </x:c>
      <x:c r="P13" s="12" t="n">
        <x:f>IFERROR(VLOOKUP(J13,team_metrics!$A:$P,5,FALSE),"")</x:f>
        <x:v>31</x:v>
      </x:c>
      <x:c r="Q13" s="12" t="n">
        <x:f>IF(AND(O13&lt;&gt;",",P13&lt;&gt;""),P13-O13,"")</x:f>
        <x:v>25</x:v>
      </x:c>
      <x:c r="R13" s="12" t="n">
        <x:f>IFERROR(VLOOKUP(I13,team_metrics!$A:$P,6,FALSE),"")</x:f>
        <x:v>1765.86</x:v>
      </x:c>
      <x:c r="S13" s="12" t="n">
        <x:f>IFERROR(VLOOKUP(J13,team_metrics!$A:$P,6,FALSE),"")</x:f>
        <x:v>1557.44</x:v>
      </x:c>
      <x:c r="T13" s="12" t="n">
        <x:f>IF(AND(R13&lt;&gt;",",S13&lt;&gt;""),R13-S13,"")</x:f>
        <x:v>208.41999999999985</x:v>
      </x:c>
      <x:c r="U13" s="12" t="n">
        <x:f>IFERROR(VLOOKUP(I13,team_metrics!$A:$P,8,FALSE),"")</x:f>
        <x:v>2031</x:v>
      </x:c>
      <x:c r="V13" s="12" t="n">
        <x:f>IFERROR(VLOOKUP(J13,team_metrics!$A:$P,8,FALSE),"")</x:f>
        <x:v>1934</x:v>
      </x:c>
      <x:c r="W13" s="12" t="n">
        <x:f>IF(AND(U13&lt;&gt;",",V13&lt;&gt;""),U13-V13,"")</x:f>
        <x:v>97</x:v>
      </x:c>
      <x:c r="X13" s="12" t="n">
        <x:f>IFERROR(VLOOKUP(I13,team_metrics!$A:$P,9,FALSE),"")</x:f>
        <x:v>928.2</x:v>
      </x:c>
      <x:c r="Y13" s="12" t="n">
        <x:f>IFERROR(VLOOKUP(J13,team_metrics!$A:$P,9,FALSE),"")</x:f>
        <x:v>589.9</x:v>
      </x:c>
      <x:c r="Z13" s="12" t="n">
        <x:f>IF(AND(X13&lt;&gt;",",Y13&lt;&gt;""),X13-Y13,"")</x:f>
        <x:v>338.30000000000007</x:v>
      </x:c>
      <x:c r="AA13" s="12" t="n">
        <x:f>IFERROR(VLOOKUP(I13,team_metrics!$A:$P,12,FALSE),"")</x:f>
        <x:v>5.3056</x:v>
      </x:c>
      <x:c r="AB13" s="12" t="n">
        <x:f>IFERROR(VLOOKUP(J13,team_metrics!$A:$P,12,FALSE),"")</x:f>
        <x:v>4.1067</x:v>
      </x:c>
      <x:c r="AC13" s="12" t="n">
        <x:f>IF(AND(AA13&lt;&gt;",",AB13&lt;&gt;""),AA13-AB13,"")</x:f>
        <x:v>1.1989</x:v>
      </x:c>
      <x:c r="AD13" s="12" t="n">
        <x:f>IFERROR((VLOOKUP(I13,team_metrics!$A:$P,4,FALSE)="是")-(VLOOKUP(J13,team_metrics!$A:$P,4,FALSE)="是"),"")</x:f>
        <x:v>0</x:v>
      </x:c>
      <x:c r="AE13" s="12" t="n">
        <x:f>IF(OR(O13="",P13=""),"",1/(1+EXP(-(0.04*(P13-O13)+0.002*T13+0.0015*W13+0.0008*Z13+0.12*AC13+0.25*AD13))))</x:f>
        <x:v>0.8783447558310653</x:v>
      </x:c>
      <x:c r="AF13" s="12" t="n">
        <x:f>IF(AE13="","",1-AE13)</x:f>
        <x:v>0.1216552441689347</x:v>
      </x:c>
      <x:c r="AG13" s="12" t="str">
        <x:f>IF(AND(AE13&lt;&gt;",",M13&lt;&gt;""),AE13*M13-1,"")</x:f>
      </x:c>
      <x:c r="AH13" s="12" t="str">
        <x:f>IF(AND(AF13&lt;&gt;",",N13&lt;&gt;""),AF13*N13-1,"")</x:f>
      </x:c>
      <x:c r="AI13" s="12" t="str">
        <x:f>IF(OR(AG13="",AH13=""),"",IF(AG13&gt;AH13,I13,IF(AH13&gt;AG13,J13,"No edge tie")))</x:f>
      </x:c>
      <x:c r="AJ13" s="12" t="str">
        <x:f>"均衡"</x:f>
        <x:v>均衡</x:v>
      </x:c>
      <x:c r="AK13" s="12" t="str">
        <x:f>IF(OR(AG13="",AH13=""),"",IF(MAX(AG13,AH13)&lt;=0,0,IF(AJ13="保守",IF(MAX(AG13,AH13)&lt;0.05,10,IF(MAX(AG13,AH13)&lt;0.12,20,IF(MAX(AG13,AH13)&lt;0.25,50,100))),IF(AJ13="进取",IF(MAX(AG13,AH13)&lt;0.02,20,IF(MAX(AG13,AH13)&lt;0.06,50,IF(MAX(AG13,AH13)&lt;0.15,100,500))),IF(MAX(AG13,AH13)&lt;0.03,10,IF(MAX(AG13,AH13)&lt;0.08,20,IF(MAX(AG13,AH13)&lt;0.18,50,IF(MAX(AG13,AH13)&lt;0.35,100,500))))))))</x:f>
      </x:c>
      <x:c r="AL13" s="12" t="str">
        <x:f>IF(AK13="","",AK13*MAX(AG13,AH13))</x:f>
      </x:c>
      <x:c r="AM13" s="12" t="str">
        <x:v>Sky Sports/CBS/SB Nation bracket + prior workbook; user-editable XHS inputs</x:v>
      </x:c>
    </x:row>
    <x:row r="14">
      <x:c r="A14" s="12" t="str">
        <x:v>R16-04</x:v>
      </x:c>
      <x:c r="B14" s="12" t="str">
        <x:v>16强</x:v>
      </x:c>
      <x:c r="C14" s="12" t="str">
        <x:v>2026-07-06 08:00</x:v>
      </x:c>
      <x:c r="D14" s="12" t="str">
        <x:v>Mexico</x:v>
      </x:c>
      <x:c r="E14" s="12" t="str">
        <x:v>Winner R32-08</x:v>
      </x:c>
      <x:c r="F14" s="12" t="str">
        <x:v>Mexico City</x:v>
      </x:c>
      <x:c r="G14" s="12" t="str">
        <x:v>Mexico</x:v>
      </x:c>
      <x:c r="H14" s="12" t="str">
        <x:v>条件对阵</x:v>
      </x:c>
      <x:c r="I14" s="12" t="str">
        <x:v>Mexico</x:v>
      </x:c>
      <x:c r="J14" s="12"/>
      <x:c r="K14" s="12"/>
      <x:c r="L14" s="12"/>
      <x:c r="M14" s="12" t="str">
        <x:f>IF(K14&gt;0,100/K14,"")</x:f>
      </x:c>
      <x:c r="N14" s="12" t="str">
        <x:f>IF(L14&gt;0,100/L14,"")</x:f>
      </x:c>
      <x:c r="O14" s="12" t="n">
        <x:f>IFERROR(VLOOKUP(I14,team_metrics!$A:$P,5,FALSE),"")</x:f>
        <x:v>14</x:v>
      </x:c>
      <x:c r="P14" s="12" t="str">
        <x:f>IFERROR(VLOOKUP(J14,team_metrics!$A:$P,5,FALSE),"")</x:f>
      </x:c>
      <x:c r="Q14" s="12" t="str">
        <x:f>IF(AND(O14&lt;&gt;",",P14&lt;&gt;""),P14-O14,"")</x:f>
      </x:c>
      <x:c r="R14" s="12" t="n">
        <x:f>IFERROR(VLOOKUP(I14,team_metrics!$A:$P,6,FALSE),"")</x:f>
        <x:v>1687.48</x:v>
      </x:c>
      <x:c r="S14" s="12" t="str">
        <x:f>IFERROR(VLOOKUP(J14,team_metrics!$A:$P,6,FALSE),"")</x:f>
      </x:c>
      <x:c r="T14" s="12" t="str">
        <x:f>IF(AND(R14&lt;&gt;",",S14&lt;&gt;""),R14-S14,"")</x:f>
      </x:c>
      <x:c r="U14" s="12" t="n">
        <x:f>IFERROR(VLOOKUP(I14,team_metrics!$A:$P,8,FALSE),"")</x:f>
        <x:v>1943</x:v>
      </x:c>
      <x:c r="V14" s="12" t="str">
        <x:f>IFERROR(VLOOKUP(J14,team_metrics!$A:$P,8,FALSE),"")</x:f>
      </x:c>
      <x:c r="W14" s="12" t="str">
        <x:f>IF(AND(U14&lt;&gt;",",V14&lt;&gt;""),U14-V14,"")</x:f>
      </x:c>
      <x:c r="X14" s="12" t="n">
        <x:f>IFERROR(VLOOKUP(I14,team_metrics!$A:$P,9,FALSE),"")</x:f>
        <x:v>191.85</x:v>
      </x:c>
      <x:c r="Y14" s="12" t="str">
        <x:f>IFERROR(VLOOKUP(J14,team_metrics!$A:$P,9,FALSE),"")</x:f>
      </x:c>
      <x:c r="Z14" s="12" t="str">
        <x:f>IF(AND(X14&lt;&gt;",",Y14&lt;&gt;""),X14-Y14,"")</x:f>
      </x:c>
      <x:c r="AA14" s="12" t="n">
        <x:f>IFERROR(VLOOKUP(I14,team_metrics!$A:$P,12,FALSE),"")</x:f>
        <x:v>6.5105</x:v>
      </x:c>
      <x:c r="AB14" s="12" t="str">
        <x:f>IFERROR(VLOOKUP(J14,team_metrics!$A:$P,12,FALSE),"")</x:f>
      </x:c>
      <x:c r="AC14" s="12" t="str">
        <x:f>IF(AND(AA14&lt;&gt;",",AB14&lt;&gt;""),AA14-AB14,"")</x:f>
      </x:c>
      <x:c r="AD14" s="12" t="str">
        <x:f>IFERROR((VLOOKUP(I14,team_metrics!$A:$P,4,FALSE)="是")-(VLOOKUP(J14,team_metrics!$A:$P,4,FALSE)="是"),"")</x:f>
      </x:c>
      <x:c r="AE14" s="12" t="str">
        <x:f>IF(OR(O14="",P14=""),"",1/(1+EXP(-(0.04*(P14-O14)+0.002*T14+0.0015*W14+0.0008*Z14+0.12*AC14+0.25*AD14))))</x:f>
      </x:c>
      <x:c r="AF14" s="12" t="str">
        <x:f>IF(AE14="","",1-AE14)</x:f>
      </x:c>
      <x:c r="AG14" s="12" t="str">
        <x:f>IF(AND(AE14&lt;&gt;",",M14&lt;&gt;""),AE14*M14-1,"")</x:f>
      </x:c>
      <x:c r="AH14" s="12" t="str">
        <x:f>IF(AND(AF14&lt;&gt;",",N14&lt;&gt;""),AF14*N14-1,"")</x:f>
      </x:c>
      <x:c r="AI14" s="12" t="str">
        <x:f>IF(OR(AG14="",AH14=""),"",IF(AG14&gt;AH14,I14,IF(AH14&gt;AG14,J14,"No edge tie")))</x:f>
      </x:c>
      <x:c r="AJ14" s="12" t="str">
        <x:f>"均衡"</x:f>
        <x:v>均衡</x:v>
      </x:c>
      <x:c r="AK14" s="12" t="str">
        <x:f>IF(OR(AG14="",AH14=""),"",IF(MAX(AG14,AH14)&lt;=0,0,IF(AJ14="保守",IF(MAX(AG14,AH14)&lt;0.05,10,IF(MAX(AG14,AH14)&lt;0.12,20,IF(MAX(AG14,AH14)&lt;0.25,50,100))),IF(AJ14="进取",IF(MAX(AG14,AH14)&lt;0.02,20,IF(MAX(AG14,AH14)&lt;0.06,50,IF(MAX(AG14,AH14)&lt;0.15,100,500))),IF(MAX(AG14,AH14)&lt;0.03,10,IF(MAX(AG14,AH14)&lt;0.08,20,IF(MAX(AG14,AH14)&lt;0.18,50,IF(MAX(AG14,AH14)&lt;0.35,100,500))))))))</x:f>
      </x:c>
      <x:c r="AL14" s="12" t="str">
        <x:f>IF(AK14="","",AK14*MAX(AG14,AH14))</x:f>
      </x:c>
      <x:c r="AM14" s="12" t="str">
        <x:v>Sky Sports/CBS/SB Nation bracket + prior workbook; user-editable XHS inputs</x:v>
      </x:c>
    </x:row>
    <x:row r="15">
      <x:c r="A15" s="12" t="str">
        <x:v>R16-05</x:v>
      </x:c>
      <x:c r="B15" s="12" t="str">
        <x:v>16强</x:v>
      </x:c>
      <x:c r="C15" s="12" t="str">
        <x:v>2026-07-07 03:00</x:v>
      </x:c>
      <x:c r="D15" s="12" t="str">
        <x:v>Winner R32-12</x:v>
      </x:c>
      <x:c r="E15" s="12" t="str">
        <x:v>Winner R32-11</x:v>
      </x:c>
      <x:c r="F15" s="12" t="str">
        <x:v>Arlington</x:v>
      </x:c>
      <x:c r="G15" s="12" t="str">
        <x:v>USA</x:v>
      </x:c>
      <x:c r="H15" s="12" t="str">
        <x:v>条件对阵</x:v>
      </x:c>
      <x:c r="I15" s="12"/>
      <x:c r="J15" s="12"/>
      <x:c r="K15" s="12"/>
      <x:c r="L15" s="12"/>
      <x:c r="M15" s="12" t="str">
        <x:f>IF(K15&gt;0,100/K15,"")</x:f>
      </x:c>
      <x:c r="N15" s="12" t="str">
        <x:f>IF(L15&gt;0,100/L15,"")</x:f>
      </x:c>
      <x:c r="O15" s="12" t="str">
        <x:f>IFERROR(VLOOKUP(I15,team_metrics!$A:$P,5,FALSE),"")</x:f>
      </x:c>
      <x:c r="P15" s="12" t="str">
        <x:f>IFERROR(VLOOKUP(J15,team_metrics!$A:$P,5,FALSE),"")</x:f>
      </x:c>
      <x:c r="Q15" s="12" t="str">
        <x:f>IF(AND(O15&lt;&gt;",",P15&lt;&gt;""),P15-O15,"")</x:f>
      </x:c>
      <x:c r="R15" s="12" t="str">
        <x:f>IFERROR(VLOOKUP(I15,team_metrics!$A:$P,6,FALSE),"")</x:f>
      </x:c>
      <x:c r="S15" s="12" t="str">
        <x:f>IFERROR(VLOOKUP(J15,team_metrics!$A:$P,6,FALSE),"")</x:f>
      </x:c>
      <x:c r="T15" s="12" t="str">
        <x:f>IF(AND(R15&lt;&gt;",",S15&lt;&gt;""),R15-S15,"")</x:f>
      </x:c>
      <x:c r="U15" s="12" t="str">
        <x:f>IFERROR(VLOOKUP(I15,team_metrics!$A:$P,8,FALSE),"")</x:f>
      </x:c>
      <x:c r="V15" s="12" t="str">
        <x:f>IFERROR(VLOOKUP(J15,team_metrics!$A:$P,8,FALSE),"")</x:f>
      </x:c>
      <x:c r="W15" s="12" t="str">
        <x:f>IF(AND(U15&lt;&gt;",",V15&lt;&gt;""),U15-V15,"")</x:f>
      </x:c>
      <x:c r="X15" s="12" t="str">
        <x:f>IFERROR(VLOOKUP(I15,team_metrics!$A:$P,9,FALSE),"")</x:f>
      </x:c>
      <x:c r="Y15" s="12" t="str">
        <x:f>IFERROR(VLOOKUP(J15,team_metrics!$A:$P,9,FALSE),"")</x:f>
      </x:c>
      <x:c r="Z15" s="12" t="str">
        <x:f>IF(AND(X15&lt;&gt;",",Y15&lt;&gt;""),X15-Y15,"")</x:f>
      </x:c>
      <x:c r="AA15" s="12" t="str">
        <x:f>IFERROR(VLOOKUP(I15,team_metrics!$A:$P,12,FALSE),"")</x:f>
      </x:c>
      <x:c r="AB15" s="12" t="str">
        <x:f>IFERROR(VLOOKUP(J15,team_metrics!$A:$P,12,FALSE),"")</x:f>
      </x:c>
      <x:c r="AC15" s="12" t="str">
        <x:f>IF(AND(AA15&lt;&gt;",",AB15&lt;&gt;""),AA15-AB15,"")</x:f>
      </x:c>
      <x:c r="AD15" s="12" t="str">
        <x:f>IFERROR((VLOOKUP(I15,team_metrics!$A:$P,4,FALSE)="是")-(VLOOKUP(J15,team_metrics!$A:$P,4,FALSE)="是"),"")</x:f>
      </x:c>
      <x:c r="AE15" s="12" t="str">
        <x:f>IF(OR(O15="",P15=""),"",1/(1+EXP(-(0.04*(P15-O15)+0.002*T15+0.0015*W15+0.0008*Z15+0.12*AC15+0.25*AD15))))</x:f>
      </x:c>
      <x:c r="AF15" s="12" t="str">
        <x:f>IF(AE15="","",1-AE15)</x:f>
      </x:c>
      <x:c r="AG15" s="12" t="str">
        <x:f>IF(AND(AE15&lt;&gt;",",M15&lt;&gt;""),AE15*M15-1,"")</x:f>
      </x:c>
      <x:c r="AH15" s="12" t="str">
        <x:f>IF(AND(AF15&lt;&gt;",",N15&lt;&gt;""),AF15*N15-1,"")</x:f>
      </x:c>
      <x:c r="AI15" s="12" t="str">
        <x:f>IF(OR(AG15="",AH15=""),"",IF(AG15&gt;AH15,I15,IF(AH15&gt;AG15,J15,"No edge tie")))</x:f>
      </x:c>
      <x:c r="AJ15" s="12" t="str">
        <x:f>"均衡"</x:f>
        <x:v>均衡</x:v>
      </x:c>
      <x:c r="AK15" s="12" t="str">
        <x:f>IF(OR(AG15="",AH15=""),"",IF(MAX(AG15,AH15)&lt;=0,0,IF(AJ15="保守",IF(MAX(AG15,AH15)&lt;0.05,10,IF(MAX(AG15,AH15)&lt;0.12,20,IF(MAX(AG15,AH15)&lt;0.25,50,100))),IF(AJ15="进取",IF(MAX(AG15,AH15)&lt;0.02,20,IF(MAX(AG15,AH15)&lt;0.06,50,IF(MAX(AG15,AH15)&lt;0.15,100,500))),IF(MAX(AG15,AH15)&lt;0.03,10,IF(MAX(AG15,AH15)&lt;0.08,20,IF(MAX(AG15,AH15)&lt;0.18,50,IF(MAX(AG15,AH15)&lt;0.35,100,500))))))))</x:f>
      </x:c>
      <x:c r="AL15" s="12" t="str">
        <x:f>IF(AK15="","",AK15*MAX(AG15,AH15))</x:f>
      </x:c>
      <x:c r="AM15" s="12" t="str">
        <x:v>Sky Sports/CBS/SB Nation bracket + prior workbook; user-editable XHS inputs</x:v>
      </x:c>
    </x:row>
    <x:row r="16">
      <x:c r="A16" s="12" t="str">
        <x:v>R16-06</x:v>
      </x:c>
      <x:c r="B16" s="12" t="str">
        <x:v>16强</x:v>
      </x:c>
      <x:c r="C16" s="12" t="str">
        <x:v>2026-07-07 08:00</x:v>
      </x:c>
      <x:c r="D16" s="12" t="str">
        <x:v>Winner R32-10</x:v>
      </x:c>
      <x:c r="E16" s="12" t="str">
        <x:v>Winner R32-09</x:v>
      </x:c>
      <x:c r="F16" s="12" t="str">
        <x:v>Seattle</x:v>
      </x:c>
      <x:c r="G16" s="12" t="str">
        <x:v>USA</x:v>
      </x:c>
      <x:c r="H16" s="12" t="str">
        <x:v>条件对阵</x:v>
      </x:c>
      <x:c r="I16" s="12"/>
      <x:c r="J16" s="12"/>
      <x:c r="K16" s="12"/>
      <x:c r="L16" s="12"/>
      <x:c r="M16" s="12" t="str">
        <x:f>IF(K16&gt;0,100/K16,"")</x:f>
      </x:c>
      <x:c r="N16" s="12" t="str">
        <x:f>IF(L16&gt;0,100/L16,"")</x:f>
      </x:c>
      <x:c r="O16" s="12" t="str">
        <x:f>IFERROR(VLOOKUP(I16,team_metrics!$A:$P,5,FALSE),"")</x:f>
      </x:c>
      <x:c r="P16" s="12" t="str">
        <x:f>IFERROR(VLOOKUP(J16,team_metrics!$A:$P,5,FALSE),"")</x:f>
      </x:c>
      <x:c r="Q16" s="12" t="str">
        <x:f>IF(AND(O16&lt;&gt;",",P16&lt;&gt;""),P16-O16,"")</x:f>
      </x:c>
      <x:c r="R16" s="12" t="str">
        <x:f>IFERROR(VLOOKUP(I16,team_metrics!$A:$P,6,FALSE),"")</x:f>
      </x:c>
      <x:c r="S16" s="12" t="str">
        <x:f>IFERROR(VLOOKUP(J16,team_metrics!$A:$P,6,FALSE),"")</x:f>
      </x:c>
      <x:c r="T16" s="12" t="str">
        <x:f>IF(AND(R16&lt;&gt;",",S16&lt;&gt;""),R16-S16,"")</x:f>
      </x:c>
      <x:c r="U16" s="12" t="str">
        <x:f>IFERROR(VLOOKUP(I16,team_metrics!$A:$P,8,FALSE),"")</x:f>
      </x:c>
      <x:c r="V16" s="12" t="str">
        <x:f>IFERROR(VLOOKUP(J16,team_metrics!$A:$P,8,FALSE),"")</x:f>
      </x:c>
      <x:c r="W16" s="12" t="str">
        <x:f>IF(AND(U16&lt;&gt;",",V16&lt;&gt;""),U16-V16,"")</x:f>
      </x:c>
      <x:c r="X16" s="12" t="str">
        <x:f>IFERROR(VLOOKUP(I16,team_metrics!$A:$P,9,FALSE),"")</x:f>
      </x:c>
      <x:c r="Y16" s="12" t="str">
        <x:f>IFERROR(VLOOKUP(J16,team_metrics!$A:$P,9,FALSE),"")</x:f>
      </x:c>
      <x:c r="Z16" s="12" t="str">
        <x:f>IF(AND(X16&lt;&gt;",",Y16&lt;&gt;""),X16-Y16,"")</x:f>
      </x:c>
      <x:c r="AA16" s="12" t="str">
        <x:f>IFERROR(VLOOKUP(I16,team_metrics!$A:$P,12,FALSE),"")</x:f>
      </x:c>
      <x:c r="AB16" s="12" t="str">
        <x:f>IFERROR(VLOOKUP(J16,team_metrics!$A:$P,12,FALSE),"")</x:f>
      </x:c>
      <x:c r="AC16" s="12" t="str">
        <x:f>IF(AND(AA16&lt;&gt;",",AB16&lt;&gt;""),AA16-AB16,"")</x:f>
      </x:c>
      <x:c r="AD16" s="12" t="str">
        <x:f>IFERROR((VLOOKUP(I16,team_metrics!$A:$P,4,FALSE)="是")-(VLOOKUP(J16,team_metrics!$A:$P,4,FALSE)="是"),"")</x:f>
      </x:c>
      <x:c r="AE16" s="12" t="str">
        <x:f>IF(OR(O16="",P16=""),"",1/(1+EXP(-(0.04*(P16-O16)+0.002*T16+0.0015*W16+0.0008*Z16+0.12*AC16+0.25*AD16))))</x:f>
      </x:c>
      <x:c r="AF16" s="12" t="str">
        <x:f>IF(AE16="","",1-AE16)</x:f>
      </x:c>
      <x:c r="AG16" s="12" t="str">
        <x:f>IF(AND(AE16&lt;&gt;",",M16&lt;&gt;""),AE16*M16-1,"")</x:f>
      </x:c>
      <x:c r="AH16" s="12" t="str">
        <x:f>IF(AND(AF16&lt;&gt;",",N16&lt;&gt;""),AF16*N16-1,"")</x:f>
      </x:c>
      <x:c r="AI16" s="12" t="str">
        <x:f>IF(OR(AG16="",AH16=""),"",IF(AG16&gt;AH16,I16,IF(AH16&gt;AG16,J16,"No edge tie")))</x:f>
      </x:c>
      <x:c r="AJ16" s="12" t="str">
        <x:f>"均衡"</x:f>
        <x:v>均衡</x:v>
      </x:c>
      <x:c r="AK16" s="12" t="str">
        <x:f>IF(OR(AG16="",AH16=""),"",IF(MAX(AG16,AH16)&lt;=0,0,IF(AJ16="保守",IF(MAX(AG16,AH16)&lt;0.05,10,IF(MAX(AG16,AH16)&lt;0.12,20,IF(MAX(AG16,AH16)&lt;0.25,50,100))),IF(AJ16="进取",IF(MAX(AG16,AH16)&lt;0.02,20,IF(MAX(AG16,AH16)&lt;0.06,50,IF(MAX(AG16,AH16)&lt;0.15,100,500))),IF(MAX(AG16,AH16)&lt;0.03,10,IF(MAX(AG16,AH16)&lt;0.08,20,IF(MAX(AG16,AH16)&lt;0.18,50,IF(MAX(AG16,AH16)&lt;0.35,100,500))))))))</x:f>
      </x:c>
      <x:c r="AL16" s="12" t="str">
        <x:f>IF(AK16="","",AK16*MAX(AG16,AH16))</x:f>
      </x:c>
      <x:c r="AM16" s="12" t="str">
        <x:v>Sky Sports/CBS/SB Nation bracket + prior workbook; user-editable XHS inputs</x:v>
      </x:c>
    </x:row>
    <x:row r="17">
      <x:c r="A17" s="12" t="str">
        <x:v>R16-07</x:v>
      </x:c>
      <x:c r="B17" s="12" t="str">
        <x:v>16强</x:v>
      </x:c>
      <x:c r="C17" s="12" t="str">
        <x:v>2026-07-08 00:00</x:v>
      </x:c>
      <x:c r="D17" s="12" t="str">
        <x:v>Winner R32-15</x:v>
      </x:c>
      <x:c r="E17" s="12" t="str">
        <x:v>Winner R32-14</x:v>
      </x:c>
      <x:c r="F17" s="12" t="str">
        <x:v>Atlanta</x:v>
      </x:c>
      <x:c r="G17" s="12" t="str">
        <x:v>USA</x:v>
      </x:c>
      <x:c r="H17" s="12" t="str">
        <x:v>条件对阵</x:v>
      </x:c>
      <x:c r="I17" s="12"/>
      <x:c r="J17" s="12"/>
      <x:c r="K17" s="12"/>
      <x:c r="L17" s="12"/>
      <x:c r="M17" s="12" t="str">
        <x:f>IF(K17&gt;0,100/K17,"")</x:f>
      </x:c>
      <x:c r="N17" s="12" t="str">
        <x:f>IF(L17&gt;0,100/L17,"")</x:f>
      </x:c>
      <x:c r="O17" s="12" t="str">
        <x:f>IFERROR(VLOOKUP(I17,team_metrics!$A:$P,5,FALSE),"")</x:f>
      </x:c>
      <x:c r="P17" s="12" t="str">
        <x:f>IFERROR(VLOOKUP(J17,team_metrics!$A:$P,5,FALSE),"")</x:f>
      </x:c>
      <x:c r="Q17" s="12" t="str">
        <x:f>IF(AND(O17&lt;&gt;",",P17&lt;&gt;""),P17-O17,"")</x:f>
      </x:c>
      <x:c r="R17" s="12" t="str">
        <x:f>IFERROR(VLOOKUP(I17,team_metrics!$A:$P,6,FALSE),"")</x:f>
      </x:c>
      <x:c r="S17" s="12" t="str">
        <x:f>IFERROR(VLOOKUP(J17,team_metrics!$A:$P,6,FALSE),"")</x:f>
      </x:c>
      <x:c r="T17" s="12" t="str">
        <x:f>IF(AND(R17&lt;&gt;",",S17&lt;&gt;""),R17-S17,"")</x:f>
      </x:c>
      <x:c r="U17" s="12" t="str">
        <x:f>IFERROR(VLOOKUP(I17,team_metrics!$A:$P,8,FALSE),"")</x:f>
      </x:c>
      <x:c r="V17" s="12" t="str">
        <x:f>IFERROR(VLOOKUP(J17,team_metrics!$A:$P,8,FALSE),"")</x:f>
      </x:c>
      <x:c r="W17" s="12" t="str">
        <x:f>IF(AND(U17&lt;&gt;",",V17&lt;&gt;""),U17-V17,"")</x:f>
      </x:c>
      <x:c r="X17" s="12" t="str">
        <x:f>IFERROR(VLOOKUP(I17,team_metrics!$A:$P,9,FALSE),"")</x:f>
      </x:c>
      <x:c r="Y17" s="12" t="str">
        <x:f>IFERROR(VLOOKUP(J17,team_metrics!$A:$P,9,FALSE),"")</x:f>
      </x:c>
      <x:c r="Z17" s="12" t="str">
        <x:f>IF(AND(X17&lt;&gt;",",Y17&lt;&gt;""),X17-Y17,"")</x:f>
      </x:c>
      <x:c r="AA17" s="12" t="str">
        <x:f>IFERROR(VLOOKUP(I17,team_metrics!$A:$P,12,FALSE),"")</x:f>
      </x:c>
      <x:c r="AB17" s="12" t="str">
        <x:f>IFERROR(VLOOKUP(J17,team_metrics!$A:$P,12,FALSE),"")</x:f>
      </x:c>
      <x:c r="AC17" s="12" t="str">
        <x:f>IF(AND(AA17&lt;&gt;",",AB17&lt;&gt;""),AA17-AB17,"")</x:f>
      </x:c>
      <x:c r="AD17" s="12" t="str">
        <x:f>IFERROR((VLOOKUP(I17,team_metrics!$A:$P,4,FALSE)="是")-(VLOOKUP(J17,team_metrics!$A:$P,4,FALSE)="是"),"")</x:f>
      </x:c>
      <x:c r="AE17" s="12" t="str">
        <x:f>IF(OR(O17="",P17=""),"",1/(1+EXP(-(0.04*(P17-O17)+0.002*T17+0.0015*W17+0.0008*Z17+0.12*AC17+0.25*AD17))))</x:f>
      </x:c>
      <x:c r="AF17" s="12" t="str">
        <x:f>IF(AE17="","",1-AE17)</x:f>
      </x:c>
      <x:c r="AG17" s="12" t="str">
        <x:f>IF(AND(AE17&lt;&gt;",",M17&lt;&gt;""),AE17*M17-1,"")</x:f>
      </x:c>
      <x:c r="AH17" s="12" t="str">
        <x:f>IF(AND(AF17&lt;&gt;",",N17&lt;&gt;""),AF17*N17-1,"")</x:f>
      </x:c>
      <x:c r="AI17" s="12" t="str">
        <x:f>IF(OR(AG17="",AH17=""),"",IF(AG17&gt;AH17,I17,IF(AH17&gt;AG17,J17,"No edge tie")))</x:f>
      </x:c>
      <x:c r="AJ17" s="12" t="str">
        <x:f>"均衡"</x:f>
        <x:v>均衡</x:v>
      </x:c>
      <x:c r="AK17" s="12" t="str">
        <x:f>IF(OR(AG17="",AH17=""),"",IF(MAX(AG17,AH17)&lt;=0,0,IF(AJ17="保守",IF(MAX(AG17,AH17)&lt;0.05,10,IF(MAX(AG17,AH17)&lt;0.12,20,IF(MAX(AG17,AH17)&lt;0.25,50,100))),IF(AJ17="进取",IF(MAX(AG17,AH17)&lt;0.02,20,IF(MAX(AG17,AH17)&lt;0.06,50,IF(MAX(AG17,AH17)&lt;0.15,100,500))),IF(MAX(AG17,AH17)&lt;0.03,10,IF(MAX(AG17,AH17)&lt;0.08,20,IF(MAX(AG17,AH17)&lt;0.18,50,IF(MAX(AG17,AH17)&lt;0.35,100,500))))))))</x:f>
      </x:c>
      <x:c r="AL17" s="12" t="str">
        <x:f>IF(AK17="","",AK17*MAX(AG17,AH17))</x:f>
      </x:c>
      <x:c r="AM17" s="12" t="str">
        <x:v>Sky Sports/CBS/SB Nation bracket + prior workbook; user-editable XHS inputs</x:v>
      </x:c>
    </x:row>
    <x:row r="18">
      <x:c r="A18" s="12" t="str">
        <x:v>R16-08</x:v>
      </x:c>
      <x:c r="B18" s="12" t="str">
        <x:v>16强</x:v>
      </x:c>
      <x:c r="C18" s="12" t="str">
        <x:v>2026-07-08 04:00</x:v>
      </x:c>
      <x:c r="D18" s="12" t="str">
        <x:v>Winner R32-13</x:v>
      </x:c>
      <x:c r="E18" s="12" t="str">
        <x:v>Winner R32-16</x:v>
      </x:c>
      <x:c r="F18" s="12" t="str">
        <x:v>Vancouver</x:v>
      </x:c>
      <x:c r="G18" s="12" t="str">
        <x:v>Canada</x:v>
      </x:c>
      <x:c r="H18" s="12" t="str">
        <x:v>条件对阵</x:v>
      </x:c>
      <x:c r="I18" s="12"/>
      <x:c r="J18" s="12"/>
      <x:c r="K18" s="12"/>
      <x:c r="L18" s="12"/>
      <x:c r="M18" s="12" t="str">
        <x:f>IF(K18&gt;0,100/K18,"")</x:f>
      </x:c>
      <x:c r="N18" s="12" t="str">
        <x:f>IF(L18&gt;0,100/L18,"")</x:f>
      </x:c>
      <x:c r="O18" s="12" t="str">
        <x:f>IFERROR(VLOOKUP(I18,team_metrics!$A:$P,5,FALSE),"")</x:f>
      </x:c>
      <x:c r="P18" s="12" t="str">
        <x:f>IFERROR(VLOOKUP(J18,team_metrics!$A:$P,5,FALSE),"")</x:f>
      </x:c>
      <x:c r="Q18" s="12" t="str">
        <x:f>IF(AND(O18&lt;&gt;",",P18&lt;&gt;""),P18-O18,"")</x:f>
      </x:c>
      <x:c r="R18" s="12" t="str">
        <x:f>IFERROR(VLOOKUP(I18,team_metrics!$A:$P,6,FALSE),"")</x:f>
      </x:c>
      <x:c r="S18" s="12" t="str">
        <x:f>IFERROR(VLOOKUP(J18,team_metrics!$A:$P,6,FALSE),"")</x:f>
      </x:c>
      <x:c r="T18" s="12" t="str">
        <x:f>IF(AND(R18&lt;&gt;",",S18&lt;&gt;""),R18-S18,"")</x:f>
      </x:c>
      <x:c r="U18" s="12" t="str">
        <x:f>IFERROR(VLOOKUP(I18,team_metrics!$A:$P,8,FALSE),"")</x:f>
      </x:c>
      <x:c r="V18" s="12" t="str">
        <x:f>IFERROR(VLOOKUP(J18,team_metrics!$A:$P,8,FALSE),"")</x:f>
      </x:c>
      <x:c r="W18" s="12" t="str">
        <x:f>IF(AND(U18&lt;&gt;",",V18&lt;&gt;""),U18-V18,"")</x:f>
      </x:c>
      <x:c r="X18" s="12" t="str">
        <x:f>IFERROR(VLOOKUP(I18,team_metrics!$A:$P,9,FALSE),"")</x:f>
      </x:c>
      <x:c r="Y18" s="12" t="str">
        <x:f>IFERROR(VLOOKUP(J18,team_metrics!$A:$P,9,FALSE),"")</x:f>
      </x:c>
      <x:c r="Z18" s="12" t="str">
        <x:f>IF(AND(X18&lt;&gt;",",Y18&lt;&gt;""),X18-Y18,"")</x:f>
      </x:c>
      <x:c r="AA18" s="12" t="str">
        <x:f>IFERROR(VLOOKUP(I18,team_metrics!$A:$P,12,FALSE),"")</x:f>
      </x:c>
      <x:c r="AB18" s="12" t="str">
        <x:f>IFERROR(VLOOKUP(J18,team_metrics!$A:$P,12,FALSE),"")</x:f>
      </x:c>
      <x:c r="AC18" s="12" t="str">
        <x:f>IF(AND(AA18&lt;&gt;",",AB18&lt;&gt;""),AA18-AB18,"")</x:f>
      </x:c>
      <x:c r="AD18" s="12" t="str">
        <x:f>IFERROR((VLOOKUP(I18,team_metrics!$A:$P,4,FALSE)="是")-(VLOOKUP(J18,team_metrics!$A:$P,4,FALSE)="是"),"")</x:f>
      </x:c>
      <x:c r="AE18" s="12" t="str">
        <x:f>IF(OR(O18="",P18=""),"",1/(1+EXP(-(0.04*(P18-O18)+0.002*T18+0.0015*W18+0.0008*Z18+0.12*AC18+0.25*AD18))))</x:f>
      </x:c>
      <x:c r="AF18" s="12" t="str">
        <x:f>IF(AE18="","",1-AE18)</x:f>
      </x:c>
      <x:c r="AG18" s="12" t="str">
        <x:f>IF(AND(AE18&lt;&gt;",",M18&lt;&gt;""),AE18*M18-1,"")</x:f>
      </x:c>
      <x:c r="AH18" s="12" t="str">
        <x:f>IF(AND(AF18&lt;&gt;",",N18&lt;&gt;""),AF18*N18-1,"")</x:f>
      </x:c>
      <x:c r="AI18" s="12" t="str">
        <x:f>IF(OR(AG18="",AH18=""),"",IF(AG18&gt;AH18,I18,IF(AH18&gt;AG18,J18,"No edge tie")))</x:f>
      </x:c>
      <x:c r="AJ18" s="12" t="str">
        <x:f>"均衡"</x:f>
        <x:v>均衡</x:v>
      </x:c>
      <x:c r="AK18" s="12" t="str">
        <x:f>IF(OR(AG18="",AH18=""),"",IF(MAX(AG18,AH18)&lt;=0,0,IF(AJ18="保守",IF(MAX(AG18,AH18)&lt;0.05,10,IF(MAX(AG18,AH18)&lt;0.12,20,IF(MAX(AG18,AH18)&lt;0.25,50,100))),IF(AJ18="进取",IF(MAX(AG18,AH18)&lt;0.02,20,IF(MAX(AG18,AH18)&lt;0.06,50,IF(MAX(AG18,AH18)&lt;0.15,100,500))),IF(MAX(AG18,AH18)&lt;0.03,10,IF(MAX(AG18,AH18)&lt;0.08,20,IF(MAX(AG18,AH18)&lt;0.18,50,IF(MAX(AG18,AH18)&lt;0.35,100,500))))))))</x:f>
      </x:c>
      <x:c r="AL18" s="12" t="str">
        <x:f>IF(AK18="","",AK18*MAX(AG18,AH18))</x:f>
      </x:c>
      <x:c r="AM18" s="12" t="str">
        <x:v>Sky Sports/CBS/SB Nation bracket + prior workbook; user-editable XHS inputs</x:v>
      </x:c>
    </x:row>
    <x:row r="19">
      <x:c r="A19" s="12" t="str">
        <x:v>QF-01</x:v>
      </x:c>
      <x:c r="B19" s="12" t="str">
        <x:v>1/4决赛</x:v>
      </x:c>
      <x:c r="C19" s="12" t="str">
        <x:v>2026-07-10 04:00</x:v>
      </x:c>
      <x:c r="D19" s="12" t="str">
        <x:v>Winner R16-02</x:v>
      </x:c>
      <x:c r="E19" s="12" t="str">
        <x:v>Winner R16-01</x:v>
      </x:c>
      <x:c r="F19" s="12" t="str">
        <x:v>Foxborough</x:v>
      </x:c>
      <x:c r="G19" s="12" t="str">
        <x:v>USA</x:v>
      </x:c>
      <x:c r="H19" s="12" t="str">
        <x:v>条件对阵</x:v>
      </x:c>
      <x:c r="I19" s="12"/>
      <x:c r="J19" s="12"/>
      <x:c r="K19" s="12"/>
      <x:c r="L19" s="12"/>
      <x:c r="M19" s="12" t="str">
        <x:f>IF(K19&gt;0,100/K19,"")</x:f>
      </x:c>
      <x:c r="N19" s="12" t="str">
        <x:f>IF(L19&gt;0,100/L19,"")</x:f>
      </x:c>
      <x:c r="O19" s="12" t="str">
        <x:f>IFERROR(VLOOKUP(I19,team_metrics!$A:$P,5,FALSE),"")</x:f>
      </x:c>
      <x:c r="P19" s="12" t="str">
        <x:f>IFERROR(VLOOKUP(J19,team_metrics!$A:$P,5,FALSE),"")</x:f>
      </x:c>
      <x:c r="Q19" s="12" t="str">
        <x:f>IF(AND(O19&lt;&gt;",",P19&lt;&gt;""),P19-O19,"")</x:f>
      </x:c>
      <x:c r="R19" s="12" t="str">
        <x:f>IFERROR(VLOOKUP(I19,team_metrics!$A:$P,6,FALSE),"")</x:f>
      </x:c>
      <x:c r="S19" s="12" t="str">
        <x:f>IFERROR(VLOOKUP(J19,team_metrics!$A:$P,6,FALSE),"")</x:f>
      </x:c>
      <x:c r="T19" s="12" t="str">
        <x:f>IF(AND(R19&lt;&gt;",",S19&lt;&gt;""),R19-S19,"")</x:f>
      </x:c>
      <x:c r="U19" s="12" t="str">
        <x:f>IFERROR(VLOOKUP(I19,team_metrics!$A:$P,8,FALSE),"")</x:f>
      </x:c>
      <x:c r="V19" s="12" t="str">
        <x:f>IFERROR(VLOOKUP(J19,team_metrics!$A:$P,8,FALSE),"")</x:f>
      </x:c>
      <x:c r="W19" s="12" t="str">
        <x:f>IF(AND(U19&lt;&gt;",",V19&lt;&gt;""),U19-V19,"")</x:f>
      </x:c>
      <x:c r="X19" s="12" t="str">
        <x:f>IFERROR(VLOOKUP(I19,team_metrics!$A:$P,9,FALSE),"")</x:f>
      </x:c>
      <x:c r="Y19" s="12" t="str">
        <x:f>IFERROR(VLOOKUP(J19,team_metrics!$A:$P,9,FALSE),"")</x:f>
      </x:c>
      <x:c r="Z19" s="12" t="str">
        <x:f>IF(AND(X19&lt;&gt;",",Y19&lt;&gt;""),X19-Y19,"")</x:f>
      </x:c>
      <x:c r="AA19" s="12" t="str">
        <x:f>IFERROR(VLOOKUP(I19,team_metrics!$A:$P,12,FALSE),"")</x:f>
      </x:c>
      <x:c r="AB19" s="12" t="str">
        <x:f>IFERROR(VLOOKUP(J19,team_metrics!$A:$P,12,FALSE),"")</x:f>
      </x:c>
      <x:c r="AC19" s="12" t="str">
        <x:f>IF(AND(AA19&lt;&gt;",",AB19&lt;&gt;""),AA19-AB19,"")</x:f>
      </x:c>
      <x:c r="AD19" s="12" t="str">
        <x:f>IFERROR((VLOOKUP(I19,team_metrics!$A:$P,4,FALSE)="是")-(VLOOKUP(J19,team_metrics!$A:$P,4,FALSE)="是"),"")</x:f>
      </x:c>
      <x:c r="AE19" s="12" t="str">
        <x:f>IF(OR(O19="",P19=""),"",1/(1+EXP(-(0.04*(P19-O19)+0.002*T19+0.0015*W19+0.0008*Z19+0.12*AC19+0.25*AD19))))</x:f>
      </x:c>
      <x:c r="AF19" s="12" t="str">
        <x:f>IF(AE19="","",1-AE19)</x:f>
      </x:c>
      <x:c r="AG19" s="12" t="str">
        <x:f>IF(AND(AE19&lt;&gt;",",M19&lt;&gt;""),AE19*M19-1,"")</x:f>
      </x:c>
      <x:c r="AH19" s="12" t="str">
        <x:f>IF(AND(AF19&lt;&gt;",",N19&lt;&gt;""),AF19*N19-1,"")</x:f>
      </x:c>
      <x:c r="AI19" s="12" t="str">
        <x:f>IF(OR(AG19="",AH19=""),"",IF(AG19&gt;AH19,I19,IF(AH19&gt;AG19,J19,"No edge tie")))</x:f>
      </x:c>
      <x:c r="AJ19" s="12" t="str">
        <x:f>"均衡"</x:f>
        <x:v>均衡</x:v>
      </x:c>
      <x:c r="AK19" s="12" t="str">
        <x:f>IF(OR(AG19="",AH19=""),"",IF(MAX(AG19,AH19)&lt;=0,0,IF(AJ19="保守",IF(MAX(AG19,AH19)&lt;0.05,10,IF(MAX(AG19,AH19)&lt;0.12,20,IF(MAX(AG19,AH19)&lt;0.25,50,100))),IF(AJ19="进取",IF(MAX(AG19,AH19)&lt;0.02,20,IF(MAX(AG19,AH19)&lt;0.06,50,IF(MAX(AG19,AH19)&lt;0.15,100,500))),IF(MAX(AG19,AH19)&lt;0.03,10,IF(MAX(AG19,AH19)&lt;0.08,20,IF(MAX(AG19,AH19)&lt;0.18,50,IF(MAX(AG19,AH19)&lt;0.35,100,500))))))))</x:f>
      </x:c>
      <x:c r="AL19" s="12" t="str">
        <x:f>IF(AK19="","",AK19*MAX(AG19,AH19))</x:f>
      </x:c>
      <x:c r="AM19" s="12" t="str">
        <x:v>Sky Sports/CBS/SB Nation bracket + prior workbook; user-editable XHS inputs</x:v>
      </x:c>
    </x:row>
    <x:row r="20">
      <x:c r="A20" s="12" t="str">
        <x:v>QF-02</x:v>
      </x:c>
      <x:c r="B20" s="12" t="str">
        <x:v>1/4决赛</x:v>
      </x:c>
      <x:c r="C20" s="12" t="str">
        <x:v>2026-07-11 03:00</x:v>
      </x:c>
      <x:c r="D20" s="12" t="str">
        <x:v>Winner R16-05</x:v>
      </x:c>
      <x:c r="E20" s="12" t="str">
        <x:v>Winner R16-06</x:v>
      </x:c>
      <x:c r="F20" s="12" t="str">
        <x:v>Los Angeles</x:v>
      </x:c>
      <x:c r="G20" s="12" t="str">
        <x:v>USA</x:v>
      </x:c>
      <x:c r="H20" s="12" t="str">
        <x:v>条件对阵</x:v>
      </x:c>
      <x:c r="I20" s="12"/>
      <x:c r="J20" s="12"/>
      <x:c r="K20" s="12"/>
      <x:c r="L20" s="12"/>
      <x:c r="M20" s="12" t="str">
        <x:f>IF(K20&gt;0,100/K20,"")</x:f>
      </x:c>
      <x:c r="N20" s="12" t="str">
        <x:f>IF(L20&gt;0,100/L20,"")</x:f>
      </x:c>
      <x:c r="O20" s="12" t="str">
        <x:f>IFERROR(VLOOKUP(I20,team_metrics!$A:$P,5,FALSE),"")</x:f>
      </x:c>
      <x:c r="P20" s="12" t="str">
        <x:f>IFERROR(VLOOKUP(J20,team_metrics!$A:$P,5,FALSE),"")</x:f>
      </x:c>
      <x:c r="Q20" s="12" t="str">
        <x:f>IF(AND(O20&lt;&gt;",",P20&lt;&gt;""),P20-O20,"")</x:f>
      </x:c>
      <x:c r="R20" s="12" t="str">
        <x:f>IFERROR(VLOOKUP(I20,team_metrics!$A:$P,6,FALSE),"")</x:f>
      </x:c>
      <x:c r="S20" s="12" t="str">
        <x:f>IFERROR(VLOOKUP(J20,team_metrics!$A:$P,6,FALSE),"")</x:f>
      </x:c>
      <x:c r="T20" s="12" t="str">
        <x:f>IF(AND(R20&lt;&gt;",",S20&lt;&gt;""),R20-S20,"")</x:f>
      </x:c>
      <x:c r="U20" s="12" t="str">
        <x:f>IFERROR(VLOOKUP(I20,team_metrics!$A:$P,8,FALSE),"")</x:f>
      </x:c>
      <x:c r="V20" s="12" t="str">
        <x:f>IFERROR(VLOOKUP(J20,team_metrics!$A:$P,8,FALSE),"")</x:f>
      </x:c>
      <x:c r="W20" s="12" t="str">
        <x:f>IF(AND(U20&lt;&gt;",",V20&lt;&gt;""),U20-V20,"")</x:f>
      </x:c>
      <x:c r="X20" s="12" t="str">
        <x:f>IFERROR(VLOOKUP(I20,team_metrics!$A:$P,9,FALSE),"")</x:f>
      </x:c>
      <x:c r="Y20" s="12" t="str">
        <x:f>IFERROR(VLOOKUP(J20,team_metrics!$A:$P,9,FALSE),"")</x:f>
      </x:c>
      <x:c r="Z20" s="12" t="str">
        <x:f>IF(AND(X20&lt;&gt;",",Y20&lt;&gt;""),X20-Y20,"")</x:f>
      </x:c>
      <x:c r="AA20" s="12" t="str">
        <x:f>IFERROR(VLOOKUP(I20,team_metrics!$A:$P,12,FALSE),"")</x:f>
      </x:c>
      <x:c r="AB20" s="12" t="str">
        <x:f>IFERROR(VLOOKUP(J20,team_metrics!$A:$P,12,FALSE),"")</x:f>
      </x:c>
      <x:c r="AC20" s="12" t="str">
        <x:f>IF(AND(AA20&lt;&gt;",",AB20&lt;&gt;""),AA20-AB20,"")</x:f>
      </x:c>
      <x:c r="AD20" s="12" t="str">
        <x:f>IFERROR((VLOOKUP(I20,team_metrics!$A:$P,4,FALSE)="是")-(VLOOKUP(J20,team_metrics!$A:$P,4,FALSE)="是"),"")</x:f>
      </x:c>
      <x:c r="AE20" s="12" t="str">
        <x:f>IF(OR(O20="",P20=""),"",1/(1+EXP(-(0.04*(P20-O20)+0.002*T20+0.0015*W20+0.0008*Z20+0.12*AC20+0.25*AD20))))</x:f>
      </x:c>
      <x:c r="AF20" s="12" t="str">
        <x:f>IF(AE20="","",1-AE20)</x:f>
      </x:c>
      <x:c r="AG20" s="12" t="str">
        <x:f>IF(AND(AE20&lt;&gt;",",M20&lt;&gt;""),AE20*M20-1,"")</x:f>
      </x:c>
      <x:c r="AH20" s="12" t="str">
        <x:f>IF(AND(AF20&lt;&gt;",",N20&lt;&gt;""),AF20*N20-1,"")</x:f>
      </x:c>
      <x:c r="AI20" s="12" t="str">
        <x:f>IF(OR(AG20="",AH20=""),"",IF(AG20&gt;AH20,I20,IF(AH20&gt;AG20,J20,"No edge tie")))</x:f>
      </x:c>
      <x:c r="AJ20" s="12" t="str">
        <x:f>"均衡"</x:f>
        <x:v>均衡</x:v>
      </x:c>
      <x:c r="AK20" s="12" t="str">
        <x:f>IF(OR(AG20="",AH20=""),"",IF(MAX(AG20,AH20)&lt;=0,0,IF(AJ20="保守",IF(MAX(AG20,AH20)&lt;0.05,10,IF(MAX(AG20,AH20)&lt;0.12,20,IF(MAX(AG20,AH20)&lt;0.25,50,100))),IF(AJ20="进取",IF(MAX(AG20,AH20)&lt;0.02,20,IF(MAX(AG20,AH20)&lt;0.06,50,IF(MAX(AG20,AH20)&lt;0.15,100,500))),IF(MAX(AG20,AH20)&lt;0.03,10,IF(MAX(AG20,AH20)&lt;0.08,20,IF(MAX(AG20,AH20)&lt;0.18,50,IF(MAX(AG20,AH20)&lt;0.35,100,500))))))))</x:f>
      </x:c>
      <x:c r="AL20" s="12" t="str">
        <x:f>IF(AK20="","",AK20*MAX(AG20,AH20))</x:f>
      </x:c>
      <x:c r="AM20" s="12" t="str">
        <x:v>Sky Sports/CBS/SB Nation bracket + prior workbook; user-editable XHS inputs</x:v>
      </x:c>
    </x:row>
    <x:row r="21">
      <x:c r="A21" s="12" t="str">
        <x:v>QF-03</x:v>
      </x:c>
      <x:c r="B21" s="12" t="str">
        <x:v>1/4决赛</x:v>
      </x:c>
      <x:c r="C21" s="12" t="str">
        <x:v>2026-07-12 05:00</x:v>
      </x:c>
      <x:c r="D21" s="12" t="str">
        <x:v>Winner R16-03</x:v>
      </x:c>
      <x:c r="E21" s="12" t="str">
        <x:v>Winner R16-04</x:v>
      </x:c>
      <x:c r="F21" s="12" t="str">
        <x:v>Miami</x:v>
      </x:c>
      <x:c r="G21" s="12" t="str">
        <x:v>USA</x:v>
      </x:c>
      <x:c r="H21" s="12" t="str">
        <x:v>条件对阵</x:v>
      </x:c>
      <x:c r="I21" s="12"/>
      <x:c r="J21" s="12"/>
      <x:c r="K21" s="12"/>
      <x:c r="L21" s="12"/>
      <x:c r="M21" s="12" t="str">
        <x:f>IF(K21&gt;0,100/K21,"")</x:f>
      </x:c>
      <x:c r="N21" s="12" t="str">
        <x:f>IF(L21&gt;0,100/L21,"")</x:f>
      </x:c>
      <x:c r="O21" s="12" t="str">
        <x:f>IFERROR(VLOOKUP(I21,team_metrics!$A:$P,5,FALSE),"")</x:f>
      </x:c>
      <x:c r="P21" s="12" t="str">
        <x:f>IFERROR(VLOOKUP(J21,team_metrics!$A:$P,5,FALSE),"")</x:f>
      </x:c>
      <x:c r="Q21" s="12" t="str">
        <x:f>IF(AND(O21&lt;&gt;",",P21&lt;&gt;""),P21-O21,"")</x:f>
      </x:c>
      <x:c r="R21" s="12" t="str">
        <x:f>IFERROR(VLOOKUP(I21,team_metrics!$A:$P,6,FALSE),"")</x:f>
      </x:c>
      <x:c r="S21" s="12" t="str">
        <x:f>IFERROR(VLOOKUP(J21,team_metrics!$A:$P,6,FALSE),"")</x:f>
      </x:c>
      <x:c r="T21" s="12" t="str">
        <x:f>IF(AND(R21&lt;&gt;",",S21&lt;&gt;""),R21-S21,"")</x:f>
      </x:c>
      <x:c r="U21" s="12" t="str">
        <x:f>IFERROR(VLOOKUP(I21,team_metrics!$A:$P,8,FALSE),"")</x:f>
      </x:c>
      <x:c r="V21" s="12" t="str">
        <x:f>IFERROR(VLOOKUP(J21,team_metrics!$A:$P,8,FALSE),"")</x:f>
      </x:c>
      <x:c r="W21" s="12" t="str">
        <x:f>IF(AND(U21&lt;&gt;",",V21&lt;&gt;""),U21-V21,"")</x:f>
      </x:c>
      <x:c r="X21" s="12" t="str">
        <x:f>IFERROR(VLOOKUP(I21,team_metrics!$A:$P,9,FALSE),"")</x:f>
      </x:c>
      <x:c r="Y21" s="12" t="str">
        <x:f>IFERROR(VLOOKUP(J21,team_metrics!$A:$P,9,FALSE),"")</x:f>
      </x:c>
      <x:c r="Z21" s="12" t="str">
        <x:f>IF(AND(X21&lt;&gt;",",Y21&lt;&gt;""),X21-Y21,"")</x:f>
      </x:c>
      <x:c r="AA21" s="12" t="str">
        <x:f>IFERROR(VLOOKUP(I21,team_metrics!$A:$P,12,FALSE),"")</x:f>
      </x:c>
      <x:c r="AB21" s="12" t="str">
        <x:f>IFERROR(VLOOKUP(J21,team_metrics!$A:$P,12,FALSE),"")</x:f>
      </x:c>
      <x:c r="AC21" s="12" t="str">
        <x:f>IF(AND(AA21&lt;&gt;",",AB21&lt;&gt;""),AA21-AB21,"")</x:f>
      </x:c>
      <x:c r="AD21" s="12" t="str">
        <x:f>IFERROR((VLOOKUP(I21,team_metrics!$A:$P,4,FALSE)="是")-(VLOOKUP(J21,team_metrics!$A:$P,4,FALSE)="是"),"")</x:f>
      </x:c>
      <x:c r="AE21" s="12" t="str">
        <x:f>IF(OR(O21="",P21=""),"",1/(1+EXP(-(0.04*(P21-O21)+0.002*T21+0.0015*W21+0.0008*Z21+0.12*AC21+0.25*AD21))))</x:f>
      </x:c>
      <x:c r="AF21" s="12" t="str">
        <x:f>IF(AE21="","",1-AE21)</x:f>
      </x:c>
      <x:c r="AG21" s="12" t="str">
        <x:f>IF(AND(AE21&lt;&gt;",",M21&lt;&gt;""),AE21*M21-1,"")</x:f>
      </x:c>
      <x:c r="AH21" s="12" t="str">
        <x:f>IF(AND(AF21&lt;&gt;",",N21&lt;&gt;""),AF21*N21-1,"")</x:f>
      </x:c>
      <x:c r="AI21" s="12" t="str">
        <x:f>IF(OR(AG21="",AH21=""),"",IF(AG21&gt;AH21,I21,IF(AH21&gt;AG21,J21,"No edge tie")))</x:f>
      </x:c>
      <x:c r="AJ21" s="12" t="str">
        <x:f>"均衡"</x:f>
        <x:v>均衡</x:v>
      </x:c>
      <x:c r="AK21" s="12" t="str">
        <x:f>IF(OR(AG21="",AH21=""),"",IF(MAX(AG21,AH21)&lt;=0,0,IF(AJ21="保守",IF(MAX(AG21,AH21)&lt;0.05,10,IF(MAX(AG21,AH21)&lt;0.12,20,IF(MAX(AG21,AH21)&lt;0.25,50,100))),IF(AJ21="进取",IF(MAX(AG21,AH21)&lt;0.02,20,IF(MAX(AG21,AH21)&lt;0.06,50,IF(MAX(AG21,AH21)&lt;0.15,100,500))),IF(MAX(AG21,AH21)&lt;0.03,10,IF(MAX(AG21,AH21)&lt;0.08,20,IF(MAX(AG21,AH21)&lt;0.18,50,IF(MAX(AG21,AH21)&lt;0.35,100,500))))))))</x:f>
      </x:c>
      <x:c r="AL21" s="12" t="str">
        <x:f>IF(AK21="","",AK21*MAX(AG21,AH21))</x:f>
      </x:c>
      <x:c r="AM21" s="12" t="str">
        <x:v>Sky Sports/CBS/SB Nation bracket + prior workbook; user-editable XHS inputs</x:v>
      </x:c>
    </x:row>
    <x:row r="22">
      <x:c r="A22" s="12" t="str">
        <x:v>QF-04</x:v>
      </x:c>
      <x:c r="B22" s="12" t="str">
        <x:v>1/4决赛</x:v>
      </x:c>
      <x:c r="C22" s="12" t="str">
        <x:v>2026-07-12 09:00</x:v>
      </x:c>
      <x:c r="D22" s="12" t="str">
        <x:v>Winner R16-07</x:v>
      </x:c>
      <x:c r="E22" s="12" t="str">
        <x:v>Winner R16-08</x:v>
      </x:c>
      <x:c r="F22" s="12" t="str">
        <x:v>Kansas City</x:v>
      </x:c>
      <x:c r="G22" s="12" t="str">
        <x:v>USA</x:v>
      </x:c>
      <x:c r="H22" s="12" t="str">
        <x:v>条件对阵</x:v>
      </x:c>
      <x:c r="I22" s="12"/>
      <x:c r="J22" s="12"/>
      <x:c r="K22" s="12"/>
      <x:c r="L22" s="12"/>
      <x:c r="M22" s="12" t="str">
        <x:f>IF(K22&gt;0,100/K22,"")</x:f>
      </x:c>
      <x:c r="N22" s="12" t="str">
        <x:f>IF(L22&gt;0,100/L22,"")</x:f>
      </x:c>
      <x:c r="O22" s="12" t="str">
        <x:f>IFERROR(VLOOKUP(I22,team_metrics!$A:$P,5,FALSE),"")</x:f>
      </x:c>
      <x:c r="P22" s="12" t="str">
        <x:f>IFERROR(VLOOKUP(J22,team_metrics!$A:$P,5,FALSE),"")</x:f>
      </x:c>
      <x:c r="Q22" s="12" t="str">
        <x:f>IF(AND(O22&lt;&gt;",",P22&lt;&gt;""),P22-O22,"")</x:f>
      </x:c>
      <x:c r="R22" s="12" t="str">
        <x:f>IFERROR(VLOOKUP(I22,team_metrics!$A:$P,6,FALSE),"")</x:f>
      </x:c>
      <x:c r="S22" s="12" t="str">
        <x:f>IFERROR(VLOOKUP(J22,team_metrics!$A:$P,6,FALSE),"")</x:f>
      </x:c>
      <x:c r="T22" s="12" t="str">
        <x:f>IF(AND(R22&lt;&gt;",",S22&lt;&gt;""),R22-S22,"")</x:f>
      </x:c>
      <x:c r="U22" s="12" t="str">
        <x:f>IFERROR(VLOOKUP(I22,team_metrics!$A:$P,8,FALSE),"")</x:f>
      </x:c>
      <x:c r="V22" s="12" t="str">
        <x:f>IFERROR(VLOOKUP(J22,team_metrics!$A:$P,8,FALSE),"")</x:f>
      </x:c>
      <x:c r="W22" s="12" t="str">
        <x:f>IF(AND(U22&lt;&gt;",",V22&lt;&gt;""),U22-V22,"")</x:f>
      </x:c>
      <x:c r="X22" s="12" t="str">
        <x:f>IFERROR(VLOOKUP(I22,team_metrics!$A:$P,9,FALSE),"")</x:f>
      </x:c>
      <x:c r="Y22" s="12" t="str">
        <x:f>IFERROR(VLOOKUP(J22,team_metrics!$A:$P,9,FALSE),"")</x:f>
      </x:c>
      <x:c r="Z22" s="12" t="str">
        <x:f>IF(AND(X22&lt;&gt;",",Y22&lt;&gt;""),X22-Y22,"")</x:f>
      </x:c>
      <x:c r="AA22" s="12" t="str">
        <x:f>IFERROR(VLOOKUP(I22,team_metrics!$A:$P,12,FALSE),"")</x:f>
      </x:c>
      <x:c r="AB22" s="12" t="str">
        <x:f>IFERROR(VLOOKUP(J22,team_metrics!$A:$P,12,FALSE),"")</x:f>
      </x:c>
      <x:c r="AC22" s="12" t="str">
        <x:f>IF(AND(AA22&lt;&gt;",",AB22&lt;&gt;""),AA22-AB22,"")</x:f>
      </x:c>
      <x:c r="AD22" s="12" t="str">
        <x:f>IFERROR((VLOOKUP(I22,team_metrics!$A:$P,4,FALSE)="是")-(VLOOKUP(J22,team_metrics!$A:$P,4,FALSE)="是"),"")</x:f>
      </x:c>
      <x:c r="AE22" s="12" t="str">
        <x:f>IF(OR(O22="",P22=""),"",1/(1+EXP(-(0.04*(P22-O22)+0.002*T22+0.0015*W22+0.0008*Z22+0.12*AC22+0.25*AD22))))</x:f>
      </x:c>
      <x:c r="AF22" s="12" t="str">
        <x:f>IF(AE22="","",1-AE22)</x:f>
      </x:c>
      <x:c r="AG22" s="12" t="str">
        <x:f>IF(AND(AE22&lt;&gt;",",M22&lt;&gt;""),AE22*M22-1,"")</x:f>
      </x:c>
      <x:c r="AH22" s="12" t="str">
        <x:f>IF(AND(AF22&lt;&gt;",",N22&lt;&gt;""),AF22*N22-1,"")</x:f>
      </x:c>
      <x:c r="AI22" s="12" t="str">
        <x:f>IF(OR(AG22="",AH22=""),"",IF(AG22&gt;AH22,I22,IF(AH22&gt;AG22,J22,"No edge tie")))</x:f>
      </x:c>
      <x:c r="AJ22" s="12" t="str">
        <x:f>"均衡"</x:f>
        <x:v>均衡</x:v>
      </x:c>
      <x:c r="AK22" s="12" t="str">
        <x:f>IF(OR(AG22="",AH22=""),"",IF(MAX(AG22,AH22)&lt;=0,0,IF(AJ22="保守",IF(MAX(AG22,AH22)&lt;0.05,10,IF(MAX(AG22,AH22)&lt;0.12,20,IF(MAX(AG22,AH22)&lt;0.25,50,100))),IF(AJ22="进取",IF(MAX(AG22,AH22)&lt;0.02,20,IF(MAX(AG22,AH22)&lt;0.06,50,IF(MAX(AG22,AH22)&lt;0.15,100,500))),IF(MAX(AG22,AH22)&lt;0.03,10,IF(MAX(AG22,AH22)&lt;0.08,20,IF(MAX(AG22,AH22)&lt;0.18,50,IF(MAX(AG22,AH22)&lt;0.35,100,500))))))))</x:f>
      </x:c>
      <x:c r="AL22" s="12" t="str">
        <x:f>IF(AK22="","",AK22*MAX(AG22,AH22))</x:f>
      </x:c>
      <x:c r="AM22" s="12" t="str">
        <x:v>Sky Sports/CBS/SB Nation bracket + prior workbook; user-editable XHS inputs</x:v>
      </x:c>
    </x:row>
    <x:row r="23">
      <x:c r="A23" s="12" t="str">
        <x:v>SF-01</x:v>
      </x:c>
      <x:c r="B23" s="12" t="str">
        <x:v>半决赛</x:v>
      </x:c>
      <x:c r="C23" s="12" t="str">
        <x:v>2026-07-15 03:00</x:v>
      </x:c>
      <x:c r="D23" s="12" t="str">
        <x:v>Winner QF-01</x:v>
      </x:c>
      <x:c r="E23" s="12" t="str">
        <x:v>Winner QF-02</x:v>
      </x:c>
      <x:c r="F23" s="12" t="str">
        <x:v>Arlington</x:v>
      </x:c>
      <x:c r="G23" s="12" t="str">
        <x:v>USA</x:v>
      </x:c>
      <x:c r="H23" s="12" t="str">
        <x:v>条件对阵</x:v>
      </x:c>
      <x:c r="I23" s="12"/>
      <x:c r="J23" s="12"/>
      <x:c r="K23" s="12"/>
      <x:c r="L23" s="12"/>
      <x:c r="M23" s="12" t="str">
        <x:f>IF(K23&gt;0,100/K23,"")</x:f>
      </x:c>
      <x:c r="N23" s="12" t="str">
        <x:f>IF(L23&gt;0,100/L23,"")</x:f>
      </x:c>
      <x:c r="O23" s="12" t="str">
        <x:f>IFERROR(VLOOKUP(I23,team_metrics!$A:$P,5,FALSE),"")</x:f>
      </x:c>
      <x:c r="P23" s="12" t="str">
        <x:f>IFERROR(VLOOKUP(J23,team_metrics!$A:$P,5,FALSE),"")</x:f>
      </x:c>
      <x:c r="Q23" s="12" t="str">
        <x:f>IF(AND(O23&lt;&gt;",",P23&lt;&gt;""),P23-O23,"")</x:f>
      </x:c>
      <x:c r="R23" s="12" t="str">
        <x:f>IFERROR(VLOOKUP(I23,team_metrics!$A:$P,6,FALSE),"")</x:f>
      </x:c>
      <x:c r="S23" s="12" t="str">
        <x:f>IFERROR(VLOOKUP(J23,team_metrics!$A:$P,6,FALSE),"")</x:f>
      </x:c>
      <x:c r="T23" s="12" t="str">
        <x:f>IF(AND(R23&lt;&gt;",",S23&lt;&gt;""),R23-S23,"")</x:f>
      </x:c>
      <x:c r="U23" s="12" t="str">
        <x:f>IFERROR(VLOOKUP(I23,team_metrics!$A:$P,8,FALSE),"")</x:f>
      </x:c>
      <x:c r="V23" s="12" t="str">
        <x:f>IFERROR(VLOOKUP(J23,team_metrics!$A:$P,8,FALSE),"")</x:f>
      </x:c>
      <x:c r="W23" s="12" t="str">
        <x:f>IF(AND(U23&lt;&gt;",",V23&lt;&gt;""),U23-V23,"")</x:f>
      </x:c>
      <x:c r="X23" s="12" t="str">
        <x:f>IFERROR(VLOOKUP(I23,team_metrics!$A:$P,9,FALSE),"")</x:f>
      </x:c>
      <x:c r="Y23" s="12" t="str">
        <x:f>IFERROR(VLOOKUP(J23,team_metrics!$A:$P,9,FALSE),"")</x:f>
      </x:c>
      <x:c r="Z23" s="12" t="str">
        <x:f>IF(AND(X23&lt;&gt;",",Y23&lt;&gt;""),X23-Y23,"")</x:f>
      </x:c>
      <x:c r="AA23" s="12" t="str">
        <x:f>IFERROR(VLOOKUP(I23,team_metrics!$A:$P,12,FALSE),"")</x:f>
      </x:c>
      <x:c r="AB23" s="12" t="str">
        <x:f>IFERROR(VLOOKUP(J23,team_metrics!$A:$P,12,FALSE),"")</x:f>
      </x:c>
      <x:c r="AC23" s="12" t="str">
        <x:f>IF(AND(AA23&lt;&gt;",",AB23&lt;&gt;""),AA23-AB23,"")</x:f>
      </x:c>
      <x:c r="AD23" s="12" t="str">
        <x:f>IFERROR((VLOOKUP(I23,team_metrics!$A:$P,4,FALSE)="是")-(VLOOKUP(J23,team_metrics!$A:$P,4,FALSE)="是"),"")</x:f>
      </x:c>
      <x:c r="AE23" s="12" t="str">
        <x:f>IF(OR(O23="",P23=""),"",1/(1+EXP(-(0.04*(P23-O23)+0.002*T23+0.0015*W23+0.0008*Z23+0.12*AC23+0.25*AD23))))</x:f>
      </x:c>
      <x:c r="AF23" s="12" t="str">
        <x:f>IF(AE23="","",1-AE23)</x:f>
      </x:c>
      <x:c r="AG23" s="12" t="str">
        <x:f>IF(AND(AE23&lt;&gt;",",M23&lt;&gt;""),AE23*M23-1,"")</x:f>
      </x:c>
      <x:c r="AH23" s="12" t="str">
        <x:f>IF(AND(AF23&lt;&gt;",",N23&lt;&gt;""),AF23*N23-1,"")</x:f>
      </x:c>
      <x:c r="AI23" s="12" t="str">
        <x:f>IF(OR(AG23="",AH23=""),"",IF(AG23&gt;AH23,I23,IF(AH23&gt;AG23,J23,"No edge tie")))</x:f>
      </x:c>
      <x:c r="AJ23" s="12" t="str">
        <x:f>"均衡"</x:f>
        <x:v>均衡</x:v>
      </x:c>
      <x:c r="AK23" s="12" t="str">
        <x:f>IF(OR(AG23="",AH23=""),"",IF(MAX(AG23,AH23)&lt;=0,0,IF(AJ23="保守",IF(MAX(AG23,AH23)&lt;0.05,10,IF(MAX(AG23,AH23)&lt;0.12,20,IF(MAX(AG23,AH23)&lt;0.25,50,100))),IF(AJ23="进取",IF(MAX(AG23,AH23)&lt;0.02,20,IF(MAX(AG23,AH23)&lt;0.06,50,IF(MAX(AG23,AH23)&lt;0.15,100,500))),IF(MAX(AG23,AH23)&lt;0.03,10,IF(MAX(AG23,AH23)&lt;0.08,20,IF(MAX(AG23,AH23)&lt;0.18,50,IF(MAX(AG23,AH23)&lt;0.35,100,500))))))))</x:f>
      </x:c>
      <x:c r="AL23" s="12" t="str">
        <x:f>IF(AK23="","",AK23*MAX(AG23,AH23))</x:f>
      </x:c>
      <x:c r="AM23" s="12" t="str">
        <x:v>Sky Sports/CBS/SB Nation bracket + prior workbook; user-editable XHS inputs</x:v>
      </x:c>
    </x:row>
    <x:row r="24">
      <x:c r="A24" s="12" t="str">
        <x:v>SF-02</x:v>
      </x:c>
      <x:c r="B24" s="12" t="str">
        <x:v>半决赛</x:v>
      </x:c>
      <x:c r="C24" s="12" t="str">
        <x:v>2026-07-16 03:00</x:v>
      </x:c>
      <x:c r="D24" s="12" t="str">
        <x:v>Winner QF-03</x:v>
      </x:c>
      <x:c r="E24" s="12" t="str">
        <x:v>Winner QF-04</x:v>
      </x:c>
      <x:c r="F24" s="12" t="str">
        <x:v>Atlanta</x:v>
      </x:c>
      <x:c r="G24" s="12" t="str">
        <x:v>USA</x:v>
      </x:c>
      <x:c r="H24" s="12" t="str">
        <x:v>条件对阵</x:v>
      </x:c>
      <x:c r="I24" s="12"/>
      <x:c r="J24" s="12"/>
      <x:c r="K24" s="12"/>
      <x:c r="L24" s="12"/>
      <x:c r="M24" s="12" t="str">
        <x:f>IF(K24&gt;0,100/K24,"")</x:f>
      </x:c>
      <x:c r="N24" s="12" t="str">
        <x:f>IF(L24&gt;0,100/L24,"")</x:f>
      </x:c>
      <x:c r="O24" s="12" t="str">
        <x:f>IFERROR(VLOOKUP(I24,team_metrics!$A:$P,5,FALSE),"")</x:f>
      </x:c>
      <x:c r="P24" s="12" t="str">
        <x:f>IFERROR(VLOOKUP(J24,team_metrics!$A:$P,5,FALSE),"")</x:f>
      </x:c>
      <x:c r="Q24" s="12" t="str">
        <x:f>IF(AND(O24&lt;&gt;",",P24&lt;&gt;""),P24-O24,"")</x:f>
      </x:c>
      <x:c r="R24" s="12" t="str">
        <x:f>IFERROR(VLOOKUP(I24,team_metrics!$A:$P,6,FALSE),"")</x:f>
      </x:c>
      <x:c r="S24" s="12" t="str">
        <x:f>IFERROR(VLOOKUP(J24,team_metrics!$A:$P,6,FALSE),"")</x:f>
      </x:c>
      <x:c r="T24" s="12" t="str">
        <x:f>IF(AND(R24&lt;&gt;",",S24&lt;&gt;""),R24-S24,"")</x:f>
      </x:c>
      <x:c r="U24" s="12" t="str">
        <x:f>IFERROR(VLOOKUP(I24,team_metrics!$A:$P,8,FALSE),"")</x:f>
      </x:c>
      <x:c r="V24" s="12" t="str">
        <x:f>IFERROR(VLOOKUP(J24,team_metrics!$A:$P,8,FALSE),"")</x:f>
      </x:c>
      <x:c r="W24" s="12" t="str">
        <x:f>IF(AND(U24&lt;&gt;",",V24&lt;&gt;""),U24-V24,"")</x:f>
      </x:c>
      <x:c r="X24" s="12" t="str">
        <x:f>IFERROR(VLOOKUP(I24,team_metrics!$A:$P,9,FALSE),"")</x:f>
      </x:c>
      <x:c r="Y24" s="12" t="str">
        <x:f>IFERROR(VLOOKUP(J24,team_metrics!$A:$P,9,FALSE),"")</x:f>
      </x:c>
      <x:c r="Z24" s="12" t="str">
        <x:f>IF(AND(X24&lt;&gt;",",Y24&lt;&gt;""),X24-Y24,"")</x:f>
      </x:c>
      <x:c r="AA24" s="12" t="str">
        <x:f>IFERROR(VLOOKUP(I24,team_metrics!$A:$P,12,FALSE),"")</x:f>
      </x:c>
      <x:c r="AB24" s="12" t="str">
        <x:f>IFERROR(VLOOKUP(J24,team_metrics!$A:$P,12,FALSE),"")</x:f>
      </x:c>
      <x:c r="AC24" s="12" t="str">
        <x:f>IF(AND(AA24&lt;&gt;",",AB24&lt;&gt;""),AA24-AB24,"")</x:f>
      </x:c>
      <x:c r="AD24" s="12" t="str">
        <x:f>IFERROR((VLOOKUP(I24,team_metrics!$A:$P,4,FALSE)="是")-(VLOOKUP(J24,team_metrics!$A:$P,4,FALSE)="是"),"")</x:f>
      </x:c>
      <x:c r="AE24" s="12" t="str">
        <x:f>IF(OR(O24="",P24=""),"",1/(1+EXP(-(0.04*(P24-O24)+0.002*T24+0.0015*W24+0.0008*Z24+0.12*AC24+0.25*AD24))))</x:f>
      </x:c>
      <x:c r="AF24" s="12" t="str">
        <x:f>IF(AE24="","",1-AE24)</x:f>
      </x:c>
      <x:c r="AG24" s="12" t="str">
        <x:f>IF(AND(AE24&lt;&gt;",",M24&lt;&gt;""),AE24*M24-1,"")</x:f>
      </x:c>
      <x:c r="AH24" s="12" t="str">
        <x:f>IF(AND(AF24&lt;&gt;",",N24&lt;&gt;""),AF24*N24-1,"")</x:f>
      </x:c>
      <x:c r="AI24" s="12" t="str">
        <x:f>IF(OR(AG24="",AH24=""),"",IF(AG24&gt;AH24,I24,IF(AH24&gt;AG24,J24,"No edge tie")))</x:f>
      </x:c>
      <x:c r="AJ24" s="12" t="str">
        <x:f>"均衡"</x:f>
        <x:v>均衡</x:v>
      </x:c>
      <x:c r="AK24" s="12" t="str">
        <x:f>IF(OR(AG24="",AH24=""),"",IF(MAX(AG24,AH24)&lt;=0,0,IF(AJ24="保守",IF(MAX(AG24,AH24)&lt;0.05,10,IF(MAX(AG24,AH24)&lt;0.12,20,IF(MAX(AG24,AH24)&lt;0.25,50,100))),IF(AJ24="进取",IF(MAX(AG24,AH24)&lt;0.02,20,IF(MAX(AG24,AH24)&lt;0.06,50,IF(MAX(AG24,AH24)&lt;0.15,100,500))),IF(MAX(AG24,AH24)&lt;0.03,10,IF(MAX(AG24,AH24)&lt;0.08,20,IF(MAX(AG24,AH24)&lt;0.18,50,IF(MAX(AG24,AH24)&lt;0.35,100,500))))))))</x:f>
      </x:c>
      <x:c r="AL24" s="12" t="str">
        <x:f>IF(AK24="","",AK24*MAX(AG24,AH24))</x:f>
      </x:c>
      <x:c r="AM24" s="12" t="str">
        <x:v>Sky Sports/CBS/SB Nation bracket + prior workbook; user-editable XHS inputs</x:v>
      </x:c>
    </x:row>
    <x:row r="25">
      <x:c r="A25" s="12" t="str">
        <x:v>ThirdPlace</x:v>
      </x:c>
      <x:c r="B25" s="12" t="str">
        <x:v>三四名决赛</x:v>
      </x:c>
      <x:c r="C25" s="12" t="str">
        <x:v>2026-07-19 03:00</x:v>
      </x:c>
      <x:c r="D25" s="12" t="str">
        <x:v>Loser SF-01</x:v>
      </x:c>
      <x:c r="E25" s="12" t="str">
        <x:v>Loser SF-02</x:v>
      </x:c>
      <x:c r="F25" s="12" t="str">
        <x:v>Miami</x:v>
      </x:c>
      <x:c r="G25" s="12" t="str">
        <x:v>USA</x:v>
      </x:c>
      <x:c r="H25" s="12" t="str">
        <x:v>条件对阵</x:v>
      </x:c>
      <x:c r="I25" s="12"/>
      <x:c r="J25" s="12"/>
      <x:c r="K25" s="12"/>
      <x:c r="L25" s="12"/>
      <x:c r="M25" s="12" t="str">
        <x:f>IF(K25&gt;0,100/K25,"")</x:f>
      </x:c>
      <x:c r="N25" s="12" t="str">
        <x:f>IF(L25&gt;0,100/L25,"")</x:f>
      </x:c>
      <x:c r="O25" s="12" t="str">
        <x:f>IFERROR(VLOOKUP(I25,team_metrics!$A:$P,5,FALSE),"")</x:f>
      </x:c>
      <x:c r="P25" s="12" t="str">
        <x:f>IFERROR(VLOOKUP(J25,team_metrics!$A:$P,5,FALSE),"")</x:f>
      </x:c>
      <x:c r="Q25" s="12" t="str">
        <x:f>IF(AND(O25&lt;&gt;",",P25&lt;&gt;""),P25-O25,"")</x:f>
      </x:c>
      <x:c r="R25" s="12" t="str">
        <x:f>IFERROR(VLOOKUP(I25,team_metrics!$A:$P,6,FALSE),"")</x:f>
      </x:c>
      <x:c r="S25" s="12" t="str">
        <x:f>IFERROR(VLOOKUP(J25,team_metrics!$A:$P,6,FALSE),"")</x:f>
      </x:c>
      <x:c r="T25" s="12" t="str">
        <x:f>IF(AND(R25&lt;&gt;",",S25&lt;&gt;""),R25-S25,"")</x:f>
      </x:c>
      <x:c r="U25" s="12" t="str">
        <x:f>IFERROR(VLOOKUP(I25,team_metrics!$A:$P,8,FALSE),"")</x:f>
      </x:c>
      <x:c r="V25" s="12" t="str">
        <x:f>IFERROR(VLOOKUP(J25,team_metrics!$A:$P,8,FALSE),"")</x:f>
      </x:c>
      <x:c r="W25" s="12" t="str">
        <x:f>IF(AND(U25&lt;&gt;",",V25&lt;&gt;""),U25-V25,"")</x:f>
      </x:c>
      <x:c r="X25" s="12" t="str">
        <x:f>IFERROR(VLOOKUP(I25,team_metrics!$A:$P,9,FALSE),"")</x:f>
      </x:c>
      <x:c r="Y25" s="12" t="str">
        <x:f>IFERROR(VLOOKUP(J25,team_metrics!$A:$P,9,FALSE),"")</x:f>
      </x:c>
      <x:c r="Z25" s="12" t="str">
        <x:f>IF(AND(X25&lt;&gt;",",Y25&lt;&gt;""),X25-Y25,"")</x:f>
      </x:c>
      <x:c r="AA25" s="12" t="str">
        <x:f>IFERROR(VLOOKUP(I25,team_metrics!$A:$P,12,FALSE),"")</x:f>
      </x:c>
      <x:c r="AB25" s="12" t="str">
        <x:f>IFERROR(VLOOKUP(J25,team_metrics!$A:$P,12,FALSE),"")</x:f>
      </x:c>
      <x:c r="AC25" s="12" t="str">
        <x:f>IF(AND(AA25&lt;&gt;",",AB25&lt;&gt;""),AA25-AB25,"")</x:f>
      </x:c>
      <x:c r="AD25" s="12" t="str">
        <x:f>IFERROR((VLOOKUP(I25,team_metrics!$A:$P,4,FALSE)="是")-(VLOOKUP(J25,team_metrics!$A:$P,4,FALSE)="是"),"")</x:f>
      </x:c>
      <x:c r="AE25" s="12" t="str">
        <x:f>IF(OR(O25="",P25=""),"",1/(1+EXP(-(0.04*(P25-O25)+0.002*T25+0.0015*W25+0.0008*Z25+0.12*AC25+0.25*AD25))))</x:f>
      </x:c>
      <x:c r="AF25" s="12" t="str">
        <x:f>IF(AE25="","",1-AE25)</x:f>
      </x:c>
      <x:c r="AG25" s="12" t="str">
        <x:f>IF(AND(AE25&lt;&gt;",",M25&lt;&gt;""),AE25*M25-1,"")</x:f>
      </x:c>
      <x:c r="AH25" s="12" t="str">
        <x:f>IF(AND(AF25&lt;&gt;",",N25&lt;&gt;""),AF25*N25-1,"")</x:f>
      </x:c>
      <x:c r="AI25" s="12" t="str">
        <x:f>IF(OR(AG25="",AH25=""),"",IF(AG25&gt;AH25,I25,IF(AH25&gt;AG25,J25,"No edge tie")))</x:f>
      </x:c>
      <x:c r="AJ25" s="12" t="str">
        <x:f>"均衡"</x:f>
        <x:v>均衡</x:v>
      </x:c>
      <x:c r="AK25" s="12" t="str">
        <x:f>IF(OR(AG25="",AH25=""),"",IF(MAX(AG25,AH25)&lt;=0,0,IF(AJ25="保守",IF(MAX(AG25,AH25)&lt;0.05,10,IF(MAX(AG25,AH25)&lt;0.12,20,IF(MAX(AG25,AH25)&lt;0.25,50,100))),IF(AJ25="进取",IF(MAX(AG25,AH25)&lt;0.02,20,IF(MAX(AG25,AH25)&lt;0.06,50,IF(MAX(AG25,AH25)&lt;0.15,100,500))),IF(MAX(AG25,AH25)&lt;0.03,10,IF(MAX(AG25,AH25)&lt;0.08,20,IF(MAX(AG25,AH25)&lt;0.18,50,IF(MAX(AG25,AH25)&lt;0.35,100,500))))))))</x:f>
      </x:c>
      <x:c r="AL25" s="12" t="str">
        <x:f>IF(AK25="","",AK25*MAX(AG25,AH25))</x:f>
      </x:c>
      <x:c r="AM25" s="12" t="str">
        <x:v>Sky Sports/CBS/SB Nation bracket + prior workbook; user-editable XHS inputs</x:v>
      </x:c>
    </x:row>
    <x:row r="26">
      <x:c r="A26" s="12" t="str">
        <x:v>Final</x:v>
      </x:c>
      <x:c r="B26" s="12" t="str">
        <x:v>决赛</x:v>
      </x:c>
      <x:c r="C26" s="12" t="str">
        <x:v>2026-07-20 03:00</x:v>
      </x:c>
      <x:c r="D26" s="12" t="str">
        <x:v>Winner SF-01</x:v>
      </x:c>
      <x:c r="E26" s="12" t="str">
        <x:v>Winner SF-02</x:v>
      </x:c>
      <x:c r="F26" s="12" t="str">
        <x:v>New Jersey</x:v>
      </x:c>
      <x:c r="G26" s="12" t="str">
        <x:v>USA</x:v>
      </x:c>
      <x:c r="H26" s="12" t="str">
        <x:v>条件对阵</x:v>
      </x:c>
      <x:c r="I26" s="12"/>
      <x:c r="J26" s="12"/>
      <x:c r="K26" s="12"/>
      <x:c r="L26" s="12"/>
      <x:c r="M26" s="12" t="str">
        <x:f>IF(K26&gt;0,100/K26,"")</x:f>
      </x:c>
      <x:c r="N26" s="12" t="str">
        <x:f>IF(L26&gt;0,100/L26,"")</x:f>
      </x:c>
      <x:c r="O26" s="12" t="str">
        <x:f>IFERROR(VLOOKUP(I26,team_metrics!$A:$P,5,FALSE),"")</x:f>
      </x:c>
      <x:c r="P26" s="12" t="str">
        <x:f>IFERROR(VLOOKUP(J26,team_metrics!$A:$P,5,FALSE),"")</x:f>
      </x:c>
      <x:c r="Q26" s="12" t="str">
        <x:f>IF(AND(O26&lt;&gt;",",P26&lt;&gt;""),P26-O26,"")</x:f>
      </x:c>
      <x:c r="R26" s="12" t="str">
        <x:f>IFERROR(VLOOKUP(I26,team_metrics!$A:$P,6,FALSE),"")</x:f>
      </x:c>
      <x:c r="S26" s="12" t="str">
        <x:f>IFERROR(VLOOKUP(J26,team_metrics!$A:$P,6,FALSE),"")</x:f>
      </x:c>
      <x:c r="T26" s="12" t="str">
        <x:f>IF(AND(R26&lt;&gt;",",S26&lt;&gt;""),R26-S26,"")</x:f>
      </x:c>
      <x:c r="U26" s="12" t="str">
        <x:f>IFERROR(VLOOKUP(I26,team_metrics!$A:$P,8,FALSE),"")</x:f>
      </x:c>
      <x:c r="V26" s="12" t="str">
        <x:f>IFERROR(VLOOKUP(J26,team_metrics!$A:$P,8,FALSE),"")</x:f>
      </x:c>
      <x:c r="W26" s="12" t="str">
        <x:f>IF(AND(U26&lt;&gt;",",V26&lt;&gt;""),U26-V26,"")</x:f>
      </x:c>
      <x:c r="X26" s="12" t="str">
        <x:f>IFERROR(VLOOKUP(I26,team_metrics!$A:$P,9,FALSE),"")</x:f>
      </x:c>
      <x:c r="Y26" s="12" t="str">
        <x:f>IFERROR(VLOOKUP(J26,team_metrics!$A:$P,9,FALSE),"")</x:f>
      </x:c>
      <x:c r="Z26" s="12" t="str">
        <x:f>IF(AND(X26&lt;&gt;",",Y26&lt;&gt;""),X26-Y26,"")</x:f>
      </x:c>
      <x:c r="AA26" s="12" t="str">
        <x:f>IFERROR(VLOOKUP(I26,team_metrics!$A:$P,12,FALSE),"")</x:f>
      </x:c>
      <x:c r="AB26" s="12" t="str">
        <x:f>IFERROR(VLOOKUP(J26,team_metrics!$A:$P,12,FALSE),"")</x:f>
      </x:c>
      <x:c r="AC26" s="12" t="str">
        <x:f>IF(AND(AA26&lt;&gt;",",AB26&lt;&gt;""),AA26-AB26,"")</x:f>
      </x:c>
      <x:c r="AD26" s="12" t="str">
        <x:f>IFERROR((VLOOKUP(I26,team_metrics!$A:$P,4,FALSE)="是")-(VLOOKUP(J26,team_metrics!$A:$P,4,FALSE)="是"),"")</x:f>
      </x:c>
      <x:c r="AE26" s="12" t="str">
        <x:f>IF(OR(O26="",P26=""),"",1/(1+EXP(-(0.04*(P26-O26)+0.002*T26+0.0015*W26+0.0008*Z26+0.12*AC26+0.25*AD26))))</x:f>
      </x:c>
      <x:c r="AF26" s="12" t="str">
        <x:f>IF(AE26="","",1-AE26)</x:f>
      </x:c>
      <x:c r="AG26" s="12" t="str">
        <x:f>IF(AND(AE26&lt;&gt;",",M26&lt;&gt;""),AE26*M26-1,"")</x:f>
      </x:c>
      <x:c r="AH26" s="12" t="str">
        <x:f>IF(AND(AF26&lt;&gt;",",N26&lt;&gt;""),AF26*N26-1,"")</x:f>
      </x:c>
      <x:c r="AI26" s="12" t="str">
        <x:f>IF(OR(AG26="",AH26=""),"",IF(AG26&gt;AH26,I26,IF(AH26&gt;AG26,J26,"No edge tie")))</x:f>
      </x:c>
      <x:c r="AJ26" s="12" t="str">
        <x:f>"均衡"</x:f>
        <x:v>均衡</x:v>
      </x:c>
      <x:c r="AK26" s="12" t="str">
        <x:f>IF(OR(AG26="",AH26=""),"",IF(MAX(AG26,AH26)&lt;=0,0,IF(AJ26="保守",IF(MAX(AG26,AH26)&lt;0.05,10,IF(MAX(AG26,AH26)&lt;0.12,20,IF(MAX(AG26,AH26)&lt;0.25,50,100))),IF(AJ26="进取",IF(MAX(AG26,AH26)&lt;0.02,20,IF(MAX(AG26,AH26)&lt;0.06,50,IF(MAX(AG26,AH26)&lt;0.15,100,500))),IF(MAX(AG26,AH26)&lt;0.03,10,IF(MAX(AG26,AH26)&lt;0.08,20,IF(MAX(AG26,AH26)&lt;0.18,50,IF(MAX(AG26,AH26)&lt;0.35,100,500))))))))</x:f>
      </x:c>
      <x:c r="AL26" s="12" t="str">
        <x:f>IF(AK26="","",AK26*MAX(AG26,AH26))</x:f>
      </x:c>
      <x:c r="AM26" s="12" t="str">
        <x:v>Sky Sports/CBS/SB Nation bracket + prior workbook; user-editable XHS inputs</x:v>
      </x:c>
    </x:row>
  </x:sheetData>
  <x:conditionalFormatting sqref="AG2:AH2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E2:AF26">
    <x:cfRule type="dataBar" priority="2">
      <x:dataBar>
        <x:cfvo type="min"/>
        <x:cfvo type="max"/>
        <x:color rgb="FF93C5FD"/>
      </x:dataBar>
      <x:extLst>
        <x:ext xmlns:x14="http://schemas.microsoft.com/office/spreadsheetml/2009/9/main" uri="{B025F937-C7B1-47D3-B67F-A62EFF666E3E}">
          <x14:id>{6E6D7C7A-AAE3-5E71-6DC4-DAEBDE4D09BE}</x14:id>
        </x:ext>
      </x:extLst>
    </x:cfRule>
  </x:conditionalFormatting>
  <x:dataValidations count="2">
    <x:dataValidation type="list" sqref="I2:J26">
      <x:formula1>team_metrics!$A$2:$A$26</x:formula1>
    </x:dataValidation>
    <x:dataValidation type="list" sqref="AJ2:AJ26">
      <x:formula1>"保守,均衡,进取"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a02af59d44436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E6D7C7A-AAE3-5E71-6DC4-DAEBDE4D09BE}">
            <x14:dataBar gradient="1">
              <x14:cfvo type="min"/>
              <x14:cfvo type="max"/>
              <x14:fillColor rgb="FF93C5FD"/>
            </x14:dataBar>
          </x14:cfRule>
          <xm:sqref>AE2:AF26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</x:cols>
  <x:sheetData>
    <x:row r="1">
      <x:c r="A1" s="6" t="str">
        <x:v>项目</x:v>
      </x:c>
      <x:c r="B1" s="6" t="str">
        <x:v>说明</x:v>
      </x:c>
    </x:row>
    <x:row r="2">
      <x:c r="A2" s="12" t="str">
        <x:v>team_a_input/team_b_input</x:v>
      </x:c>
      <x:c r="B2" s="12" t="str">
        <x:v>已确定比赛已预填；条件对阵需要在上游比赛结束后手动选择实际球队。</x:v>
      </x:c>
    </x:row>
    <x:row r="3">
      <x:c r="A3" s="12" t="str">
        <x:v>xhs_pct_a_user_input/xhs_pct_b_user_input</x:v>
      </x:c>
      <x:c r="B3" s="12" t="str">
        <x:v>用户赛前从小红书竞猜页输入双方投注人数比例；建议两列合计约 100。</x:v>
      </x:c>
    </x:row>
    <x:row r="4">
      <x:c r="A4" s="12" t="str">
        <x:v>payout_mult</x:v>
      </x:c>
      <x:c r="B4" s="12" t="str">
        <x:v>返还倍率 = 100 / 选择结果人数比例。</x:v>
      </x:c>
    </x:row>
    <x:row r="5">
      <x:c r="A5" s="12" t="str">
        <x:v>p_model_a_adv_seed</x:v>
      </x:c>
      <x:c r="B5" s="12" t="str">
        <x:v>启发式种子概率：由排名差、FIFA积分差、Elo差、身价差、当前世界杯状态差、东道主项进入 logistic 公式。</x:v>
      </x:c>
    </x:row>
    <x:row r="6">
      <x:c r="A6" s="12" t="str">
        <x:v>xhs_ev</x:v>
      </x:c>
      <x:c r="B6" s="12" t="str">
        <x:v>EV = 模型晋级概率 × 返还倍率 - 1；正值表示在该模型口径下有正期望。</x:v>
      </x:c>
    </x:row>
    <x:row r="7">
      <x:c r="A7" s="12" t="str">
        <x:v>suggested_stake_gold</x:v>
      </x:c>
      <x:c r="B7" s="12" t="str">
        <x:v>只输出 0、10、20、50、100、500；根据风险偏好与最高 EV 阈值确定。</x:v>
      </x:c>
    </x:row>
    <x:row r="8">
      <x:c r="A8" s="12" t="str">
        <x:v>注意</x:v>
      </x:c>
      <x:c r="B8" s="12" t="str">
        <x:v>该表是特征工程与模拟投资建议框架，不保证真实收益；正式模型出来后应覆盖 p_model_* 列。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6" t="str">
        <x:v>source_name</x:v>
      </x:c>
      <x:c r="B1" s="6" t="str">
        <x:v>use_in_workbook</x:v>
      </x:c>
      <x:c r="C1" s="6" t="str">
        <x:v>url</x:v>
      </x:c>
    </x:row>
    <x:row r="2">
      <x:c r="A2" s="12" t="str">
        <x:v>Sky Sports World Cup 2026 bracket and fixtures</x:v>
      </x:c>
      <x:c r="B2" s="12" t="str">
        <x:v>Remaining bracket/schedule rows</x:v>
      </x:c>
      <x:c r="C2" s="12" t="str">
        <x:v>https://www.skysports.com/football/news/12098/13556636/world-cup-2026-bracket-and-knockout-fixtures-whos-facing-who-in-the-last-32-and-route-to-final</x:v>
      </x:c>
    </x:row>
    <x:row r="3">
      <x:c r="A3" s="12" t="str">
        <x:v>CBS Sports World Cup 2026 bracket/results</x:v>
      </x:c>
      <x:c r="B3" s="12" t="str">
        <x:v>Round of 32 and Round of 16 cross-check</x:v>
      </x:c>
      <x:c r="C3" s="12" t="str">
        <x:v>https://www.cbssports.com/soccer/news/2026-fifa-world-cup-bracket-round-of-32-results-round-of-16-matchups-final/</x:v>
      </x:c>
    </x:row>
    <x:row r="4">
      <x:c r="A4" s="12" t="str">
        <x:v>FIFA/Coca-Cola Men's World Ranking</x:v>
      </x:c>
      <x:c r="B4" s="12" t="str">
        <x:v>Ranking methodology / Elo model reference</x:v>
      </x:c>
      <x:c r="C4" s="12" t="str">
        <x:v>https://inside.fifa.com/fifa-world-ranking/men</x:v>
      </x:c>
    </x:row>
    <x:row r="5">
      <x:c r="A5" s="12" t="str">
        <x:v>Sofascore FIFA Football Rankings 2026</x:v>
      </x:c>
      <x:c r="B5" s="12" t="str">
        <x:v>Current-style FIFA ranking/points inputs</x:v>
      </x:c>
      <x:c r="C5" s="12" t="str">
        <x:v>https://www.sofascore.com/football/rankings/fifa</x:v>
      </x:c>
    </x:row>
    <x:row r="6">
      <x:c r="A6" s="12" t="str">
        <x:v>World Football Elo Ratings</x:v>
      </x:c>
      <x:c r="B6" s="12" t="str">
        <x:v>Elo rating inputs</x:v>
      </x:c>
      <x:c r="C6" s="12" t="str">
        <x:v>https://eloratings.net/</x:v>
      </x:c>
    </x:row>
    <x:row r="7">
      <x:c r="A7" s="12" t="str">
        <x:v>FootballRatings Elo table</x:v>
      </x:c>
      <x:c r="B7" s="12" t="str">
        <x:v>Elo values cross-check</x:v>
      </x:c>
      <x:c r="C7" s="12" t="str">
        <x:v>https://www.footballratings.org/</x:v>
      </x:c>
    </x:row>
    <x:row r="8">
      <x:c r="A8" s="12" t="str">
        <x:v>Transfermarkt World Cup 2026 participating teams</x:v>
      </x:c>
      <x:c r="B8" s="12" t="str">
        <x:v>Squad total value / average age / average value</x:v>
      </x:c>
      <x:c r="C8" s="12" t="str">
        <x:v>https://www.transfermarkt.com/world-cup/teilnehmer/pokalwettbewerb/FIWC</x:v>
      </x:c>
    </x:row>
    <x:row r="9">
      <x:c r="A9" s="12" t="str">
        <x:v>小红书竞猜规则</x:v>
      </x:c>
      <x:c r="B9" s="12" t="str">
        <x:v>User-provided rules in this conversation</x:v>
      </x:c>
      <x:c r="C9" s="12" t="str">
        <x:v>User-provided; no public URL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6" t="str">
        <x:v>表格</x:v>
      </x:c>
      <x:c r="B1" s="6" t="str">
        <x:v>当前状态</x:v>
      </x:c>
      <x:c r="C1" s="6" t="str">
        <x:v>备注</x:v>
      </x:c>
    </x:row>
    <x:row r="2">
      <x:c r="A2" t="str">
        <x:v>静态实力表</x:v>
      </x:c>
      <x:c r="B2" t="str">
        <x:v>已完成第一版</x:v>
      </x:c>
      <x:c r="C2" t="str">
        <x:v>team_metrics 合并了静态实力与当前世界杯状态分</x:v>
      </x:c>
    </x:row>
    <x:row r="3">
      <x:c r="A3" t="str">
        <x:v>逐场近期战绩表</x:v>
      </x:c>
      <x:c r="B3" t="str">
        <x:v>已完成当前世界杯已赛部分</x:v>
      </x:c>
      <x:c r="C3" t="str">
        <x:v>严格全窗口仍可继续回填 2024-06-14 至 2026-06-10</x:v>
      </x:c>
    </x:row>
    <x:row r="4">
      <x:c r="A4" t="str">
        <x:v>近期状态汇总表</x:v>
      </x:c>
      <x:c r="B4" t="str">
        <x:v>已完成当前世界杯已赛口径</x:v>
      </x:c>
      <x:c r="C4" t="str">
        <x:v>已接入 future features</x:v>
      </x:c>
    </x:row>
    <x:row r="5">
      <x:c r="A5" t="str">
        <x:v>未来比赛特征表</x:v>
      </x:c>
      <x:c r="B5" t="str">
        <x:v>已完成第一版</x:v>
      </x:c>
      <x:c r="C5" t="str">
        <x:v>含可编辑小红书投注比例、EV、推荐方向和仓位</x:v>
      </x:c>
    </x:row>
  </x:sheetData>
  <x:pageMargins left="0.7" right="0.7" top="0.75" bottom="0.75" header="0.3" footer="0.3"/>
</x:worksheet>
</file>